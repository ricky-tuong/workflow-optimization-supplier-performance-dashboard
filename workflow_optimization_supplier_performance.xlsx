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 hidePivotFieldList="1" defaultThemeVersion="124226"/>
  <xr:revisionPtr revIDLastSave="0" documentId="8_{DD0883F6-F168-4D39-BDDF-AD3AE874034F}" xr6:coauthVersionLast="47" xr6:coauthVersionMax="47" xr10:uidLastSave="{00000000-0000-0000-0000-000000000000}"/>
  <bookViews>
    <workbookView xWindow="240" yWindow="15" windowWidth="16095" windowHeight="9660" firstSheet="4" activeTab="5" xr2:uid="{00000000-000D-0000-FFFF-FFFF00000000}"/>
  </bookViews>
  <sheets>
    <sheet name="RawData" sheetId="1" r:id="rId1"/>
    <sheet name="Summary_By_Region" sheetId="2" state="hidden" r:id="rId2"/>
    <sheet name="Top_Suppliers" sheetId="3" state="hidden" r:id="rId3"/>
    <sheet name="PivotTables" sheetId="5" r:id="rId4"/>
    <sheet name="SupportingTables" sheetId="7" r:id="rId5"/>
    <sheet name="Supplier Performance Dashboard" sheetId="4" r:id="rId6"/>
  </sheets>
  <calcPr calcId="191028"/>
  <pivotCaches>
    <pivotCache cacheId="524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10" i="4"/>
  <c r="B9" i="4"/>
  <c r="B3" i="4"/>
  <c r="B7" i="4"/>
  <c r="B5" i="4"/>
  <c r="B4" i="4"/>
</calcChain>
</file>

<file path=xl/sharedStrings.xml><?xml version="1.0" encoding="utf-8"?>
<sst xmlns="http://schemas.openxmlformats.org/spreadsheetml/2006/main" count="1238" uniqueCount="368">
  <si>
    <t>Supplier</t>
  </si>
  <si>
    <t>Region</t>
  </si>
  <si>
    <t>Date Submitted</t>
  </si>
  <si>
    <t>Request ID</t>
  </si>
  <si>
    <t>Project ID</t>
  </si>
  <si>
    <t>Requester</t>
  </si>
  <si>
    <t>Approval Status</t>
  </si>
  <si>
    <t>Risk Rating</t>
  </si>
  <si>
    <t>Lead Time (days)</t>
  </si>
  <si>
    <t>Missing Documents</t>
  </si>
  <si>
    <t>Contract Value</t>
  </si>
  <si>
    <t>Beacon Supplies</t>
  </si>
  <si>
    <t>North</t>
  </si>
  <si>
    <t>2025-05-21</t>
  </si>
  <si>
    <t>REQ-2000</t>
  </si>
  <si>
    <t>PRJ-1022</t>
  </si>
  <si>
    <t>Clinical</t>
  </si>
  <si>
    <t>Pending</t>
  </si>
  <si>
    <t>Low</t>
  </si>
  <si>
    <t>Yes</t>
  </si>
  <si>
    <t>Juniper Vendors</t>
  </si>
  <si>
    <t>West</t>
  </si>
  <si>
    <t>2025-01-17</t>
  </si>
  <si>
    <t>REQ-2001</t>
  </si>
  <si>
    <t>PRJ-1143</t>
  </si>
  <si>
    <t>Ops Team</t>
  </si>
  <si>
    <t>No</t>
  </si>
  <si>
    <t>Delta Transport</t>
  </si>
  <si>
    <t>Central</t>
  </si>
  <si>
    <t>2025-08-03</t>
  </si>
  <si>
    <t>REQ-2002</t>
  </si>
  <si>
    <t>PRJ-1194</t>
  </si>
  <si>
    <t>Cedar Goods</t>
  </si>
  <si>
    <t>2025-06-24</t>
  </si>
  <si>
    <t>REQ-2003</t>
  </si>
  <si>
    <t>PRJ-1023</t>
  </si>
  <si>
    <t>Grove Materials</t>
  </si>
  <si>
    <t>2025-07-03</t>
  </si>
  <si>
    <t>REQ-2004</t>
  </si>
  <si>
    <t>PRJ-1137</t>
  </si>
  <si>
    <t>Facilities</t>
  </si>
  <si>
    <t>Approved</t>
  </si>
  <si>
    <t>Medium</t>
  </si>
  <si>
    <t>2025-02-10</t>
  </si>
  <si>
    <t>REQ-2005</t>
  </si>
  <si>
    <t>PRJ-1147</t>
  </si>
  <si>
    <t>Finance</t>
  </si>
  <si>
    <t>2025-01-24</t>
  </si>
  <si>
    <t>REQ-2006</t>
  </si>
  <si>
    <t>PRJ-1025</t>
  </si>
  <si>
    <t>Procurement</t>
  </si>
  <si>
    <t>East</t>
  </si>
  <si>
    <t>2025-08-21</t>
  </si>
  <si>
    <t>REQ-2007</t>
  </si>
  <si>
    <t>PRJ-1171</t>
  </si>
  <si>
    <t>Eagle Components</t>
  </si>
  <si>
    <t>2025-11-08</t>
  </si>
  <si>
    <t>REQ-2008</t>
  </si>
  <si>
    <t>PRJ-1097</t>
  </si>
  <si>
    <t>2025-04-23</t>
  </si>
  <si>
    <t>REQ-2009</t>
  </si>
  <si>
    <t>PRJ-1008</t>
  </si>
  <si>
    <t>Falcon Services</t>
  </si>
  <si>
    <t>2025-05-18</t>
  </si>
  <si>
    <t>REQ-2010</t>
  </si>
  <si>
    <t>PRJ-1054</t>
  </si>
  <si>
    <t>High</t>
  </si>
  <si>
    <t>Harbor Co.</t>
  </si>
  <si>
    <t>2025-11-26</t>
  </si>
  <si>
    <t>REQ-2011</t>
  </si>
  <si>
    <t>2025-08-08</t>
  </si>
  <si>
    <t>REQ-2012</t>
  </si>
  <si>
    <t>PRJ-1130</t>
  </si>
  <si>
    <t>2025-01-25</t>
  </si>
  <si>
    <t>REQ-2013</t>
  </si>
  <si>
    <t>PRJ-1152</t>
  </si>
  <si>
    <t>2025-07-15</t>
  </si>
  <si>
    <t>REQ-2014</t>
  </si>
  <si>
    <t>PRJ-1002</t>
  </si>
  <si>
    <t>2025-05-17</t>
  </si>
  <si>
    <t>REQ-2015</t>
  </si>
  <si>
    <t>PRJ-1116</t>
  </si>
  <si>
    <t>Alpha Logistics</t>
  </si>
  <si>
    <t>2025-09-14</t>
  </si>
  <si>
    <t>REQ-2016</t>
  </si>
  <si>
    <t>PRJ-1163</t>
  </si>
  <si>
    <t>Ivy Manufacturing</t>
  </si>
  <si>
    <t>2025-04-12</t>
  </si>
  <si>
    <t>REQ-2017</t>
  </si>
  <si>
    <t>PRJ-1000</t>
  </si>
  <si>
    <t>2025-09-08</t>
  </si>
  <si>
    <t>REQ-2018</t>
  </si>
  <si>
    <t>PRJ-1061</t>
  </si>
  <si>
    <t>South</t>
  </si>
  <si>
    <t>2025-10-18</t>
  </si>
  <si>
    <t>REQ-2019</t>
  </si>
  <si>
    <t>Rejected</t>
  </si>
  <si>
    <t>2025-03-07</t>
  </si>
  <si>
    <t>REQ-2020</t>
  </si>
  <si>
    <t>PRJ-1155</t>
  </si>
  <si>
    <t>2025-10-04</t>
  </si>
  <si>
    <t>REQ-2021</t>
  </si>
  <si>
    <t>2025-09-22</t>
  </si>
  <si>
    <t>REQ-2022</t>
  </si>
  <si>
    <t>PRJ-1150</t>
  </si>
  <si>
    <t>2025-10-29</t>
  </si>
  <si>
    <t>REQ-2023</t>
  </si>
  <si>
    <t>PRJ-1017</t>
  </si>
  <si>
    <t>2025-02-06</t>
  </si>
  <si>
    <t>REQ-2024</t>
  </si>
  <si>
    <t>PRJ-1033</t>
  </si>
  <si>
    <t>2025-08-31</t>
  </si>
  <si>
    <t>REQ-2025</t>
  </si>
  <si>
    <t>PRJ-1024</t>
  </si>
  <si>
    <t>2025-08-05</t>
  </si>
  <si>
    <t>REQ-2026</t>
  </si>
  <si>
    <t>PRJ-1015</t>
  </si>
  <si>
    <t>2025-02-25</t>
  </si>
  <si>
    <t>REQ-2027</t>
  </si>
  <si>
    <t>PRJ-1046</t>
  </si>
  <si>
    <t>2025-05-08</t>
  </si>
  <si>
    <t>REQ-2028</t>
  </si>
  <si>
    <t>2025-01-08</t>
  </si>
  <si>
    <t>REQ-2029</t>
  </si>
  <si>
    <t>PRJ-1104</t>
  </si>
  <si>
    <t>2025-04-20</t>
  </si>
  <si>
    <t>REQ-2030</t>
  </si>
  <si>
    <t>PRJ-1099</t>
  </si>
  <si>
    <t>2025-05-27</t>
  </si>
  <si>
    <t>REQ-2031</t>
  </si>
  <si>
    <t>PRJ-1169</t>
  </si>
  <si>
    <t>2025-04-08</t>
  </si>
  <si>
    <t>REQ-2032</t>
  </si>
  <si>
    <t>2025-01-26</t>
  </si>
  <si>
    <t>REQ-2033</t>
  </si>
  <si>
    <t>PRJ-1014</t>
  </si>
  <si>
    <t>2025-04-06</t>
  </si>
  <si>
    <t>REQ-2034</t>
  </si>
  <si>
    <t>PRJ-1030</t>
  </si>
  <si>
    <t>2025-10-24</t>
  </si>
  <si>
    <t>REQ-2035</t>
  </si>
  <si>
    <t>PRJ-1144</t>
  </si>
  <si>
    <t>2025-05-14</t>
  </si>
  <si>
    <t>REQ-2036</t>
  </si>
  <si>
    <t>2025-06-11</t>
  </si>
  <si>
    <t>REQ-2037</t>
  </si>
  <si>
    <t>2025-10-03</t>
  </si>
  <si>
    <t>REQ-2038</t>
  </si>
  <si>
    <t>PRJ-1062</t>
  </si>
  <si>
    <t>2025-03-22</t>
  </si>
  <si>
    <t>REQ-2039</t>
  </si>
  <si>
    <t>2025-02-23</t>
  </si>
  <si>
    <t>REQ-2040</t>
  </si>
  <si>
    <t>PRJ-1190</t>
  </si>
  <si>
    <t>2025-05-20</t>
  </si>
  <si>
    <t>REQ-2041</t>
  </si>
  <si>
    <t>PRJ-1129</t>
  </si>
  <si>
    <t>2025-01-27</t>
  </si>
  <si>
    <t>REQ-2042</t>
  </si>
  <si>
    <t>PRJ-1085</t>
  </si>
  <si>
    <t>2025-03-24</t>
  </si>
  <si>
    <t>REQ-2043</t>
  </si>
  <si>
    <t>PRJ-1028</t>
  </si>
  <si>
    <t>2025-10-07</t>
  </si>
  <si>
    <t>REQ-2044</t>
  </si>
  <si>
    <t>PRJ-1032</t>
  </si>
  <si>
    <t>2025-07-06</t>
  </si>
  <si>
    <t>REQ-2045</t>
  </si>
  <si>
    <t>PRJ-1053</t>
  </si>
  <si>
    <t>2025-07-01</t>
  </si>
  <si>
    <t>REQ-2046</t>
  </si>
  <si>
    <t>PRJ-1191</t>
  </si>
  <si>
    <t>2025-03-25</t>
  </si>
  <si>
    <t>REQ-2047</t>
  </si>
  <si>
    <t>PRJ-1045</t>
  </si>
  <si>
    <t>REQ-2048</t>
  </si>
  <si>
    <t>PRJ-1120</t>
  </si>
  <si>
    <t>2025-08-24</t>
  </si>
  <si>
    <t>REQ-2049</t>
  </si>
  <si>
    <t>PRJ-1006</t>
  </si>
  <si>
    <t>2025-06-18</t>
  </si>
  <si>
    <t>REQ-2050</t>
  </si>
  <si>
    <t>PRJ-1164</t>
  </si>
  <si>
    <t>2025-10-02</t>
  </si>
  <si>
    <t>REQ-2051</t>
  </si>
  <si>
    <t>2025-01-20</t>
  </si>
  <si>
    <t>REQ-2052</t>
  </si>
  <si>
    <t>PRJ-1111</t>
  </si>
  <si>
    <t>2025-03-01</t>
  </si>
  <si>
    <t>REQ-2053</t>
  </si>
  <si>
    <t>2025-04-11</t>
  </si>
  <si>
    <t>REQ-2054</t>
  </si>
  <si>
    <t>PRJ-1159</t>
  </si>
  <si>
    <t>2025-06-03</t>
  </si>
  <si>
    <t>REQ-2055</t>
  </si>
  <si>
    <t>PRJ-1141</t>
  </si>
  <si>
    <t>2025-08-04</t>
  </si>
  <si>
    <t>REQ-2056</t>
  </si>
  <si>
    <t>PRJ-1157</t>
  </si>
  <si>
    <t>2025-07-27</t>
  </si>
  <si>
    <t>REQ-2057</t>
  </si>
  <si>
    <t>PRJ-1148</t>
  </si>
  <si>
    <t>2025-08-27</t>
  </si>
  <si>
    <t>REQ-2058</t>
  </si>
  <si>
    <t>PRJ-1168</t>
  </si>
  <si>
    <t>2025-09-21</t>
  </si>
  <si>
    <t>REQ-2059</t>
  </si>
  <si>
    <t>PRJ-1172</t>
  </si>
  <si>
    <t>REQ-2060</t>
  </si>
  <si>
    <t>PRJ-1196</t>
  </si>
  <si>
    <t>2025-08-01</t>
  </si>
  <si>
    <t>REQ-2061</t>
  </si>
  <si>
    <t>PRJ-1126</t>
  </si>
  <si>
    <t>2025-03-17</t>
  </si>
  <si>
    <t>REQ-2062</t>
  </si>
  <si>
    <t>PRJ-1199</t>
  </si>
  <si>
    <t>2025-04-01</t>
  </si>
  <si>
    <t>REQ-2063</t>
  </si>
  <si>
    <t>PRJ-1063</t>
  </si>
  <si>
    <t>2025-03-10</t>
  </si>
  <si>
    <t>REQ-2064</t>
  </si>
  <si>
    <t>PRJ-1081</t>
  </si>
  <si>
    <t>2025-09-16</t>
  </si>
  <si>
    <t>REQ-2065</t>
  </si>
  <si>
    <t>2025-05-13</t>
  </si>
  <si>
    <t>REQ-2066</t>
  </si>
  <si>
    <t>PRJ-1124</t>
  </si>
  <si>
    <t>2025-08-14</t>
  </si>
  <si>
    <t>REQ-2067</t>
  </si>
  <si>
    <t>PRJ-1138</t>
  </si>
  <si>
    <t>2025-03-19</t>
  </si>
  <si>
    <t>REQ-2068</t>
  </si>
  <si>
    <t>PRJ-1106</t>
  </si>
  <si>
    <t>2025-10-05</t>
  </si>
  <si>
    <t>REQ-2069</t>
  </si>
  <si>
    <t>PRJ-1197</t>
  </si>
  <si>
    <t>2025-10-22</t>
  </si>
  <si>
    <t>REQ-2070</t>
  </si>
  <si>
    <t>PRJ-1107</t>
  </si>
  <si>
    <t>2025-11-05</t>
  </si>
  <si>
    <t>REQ-2071</t>
  </si>
  <si>
    <t>PRJ-1007</t>
  </si>
  <si>
    <t>REQ-2072</t>
  </si>
  <si>
    <t>PRJ-1136</t>
  </si>
  <si>
    <t>2025-10-31</t>
  </si>
  <si>
    <t>REQ-2073</t>
  </si>
  <si>
    <t>PRJ-1118</t>
  </si>
  <si>
    <t>REQ-2074</t>
  </si>
  <si>
    <t>PRJ-1071</t>
  </si>
  <si>
    <t>2025-02-11</t>
  </si>
  <si>
    <t>REQ-2075</t>
  </si>
  <si>
    <t>PRJ-1057</t>
  </si>
  <si>
    <t>2025-01-16</t>
  </si>
  <si>
    <t>REQ-2076</t>
  </si>
  <si>
    <t>2025-02-28</t>
  </si>
  <si>
    <t>REQ-2077</t>
  </si>
  <si>
    <t>PRJ-1042</t>
  </si>
  <si>
    <t>REQ-2078</t>
  </si>
  <si>
    <t>2025-07-12</t>
  </si>
  <si>
    <t>REQ-2079</t>
  </si>
  <si>
    <t>PRJ-1026</t>
  </si>
  <si>
    <t>2025-03-03</t>
  </si>
  <si>
    <t>REQ-2080</t>
  </si>
  <si>
    <t>PRJ-1109</t>
  </si>
  <si>
    <t>2025-09-17</t>
  </si>
  <si>
    <t>REQ-2081</t>
  </si>
  <si>
    <t>PRJ-1027</t>
  </si>
  <si>
    <t>2025-11-22</t>
  </si>
  <si>
    <t>REQ-2082</t>
  </si>
  <si>
    <t>PRJ-1187</t>
  </si>
  <si>
    <t>2025-11-12</t>
  </si>
  <si>
    <t>REQ-2083</t>
  </si>
  <si>
    <t>2025-06-15</t>
  </si>
  <si>
    <t>REQ-2084</t>
  </si>
  <si>
    <t>2025-11-09</t>
  </si>
  <si>
    <t>REQ-2085</t>
  </si>
  <si>
    <t>REQ-2086</t>
  </si>
  <si>
    <t>PRJ-1142</t>
  </si>
  <si>
    <t>REQ-2087</t>
  </si>
  <si>
    <t>PRJ-1176</t>
  </si>
  <si>
    <t>2025-08-18</t>
  </si>
  <si>
    <t>REQ-2088</t>
  </si>
  <si>
    <t>PRJ-1078</t>
  </si>
  <si>
    <t>REQ-2089</t>
  </si>
  <si>
    <t>PRJ-1084</t>
  </si>
  <si>
    <t>2025-05-19</t>
  </si>
  <si>
    <t>REQ-2090</t>
  </si>
  <si>
    <t>2025-04-09</t>
  </si>
  <si>
    <t>REQ-2091</t>
  </si>
  <si>
    <t>2025-04-10</t>
  </si>
  <si>
    <t>REQ-2092</t>
  </si>
  <si>
    <t>2025-01-28</t>
  </si>
  <si>
    <t>REQ-2093</t>
  </si>
  <si>
    <t>2025-05-26</t>
  </si>
  <si>
    <t>REQ-2094</t>
  </si>
  <si>
    <t>PRJ-1064</t>
  </si>
  <si>
    <t>2025-02-03</t>
  </si>
  <si>
    <t>REQ-2095</t>
  </si>
  <si>
    <t>PRJ-1038</t>
  </si>
  <si>
    <t>2025-06-05</t>
  </si>
  <si>
    <t>REQ-2096</t>
  </si>
  <si>
    <t>2025-04-26</t>
  </si>
  <si>
    <t>REQ-2097</t>
  </si>
  <si>
    <t>2025-10-19</t>
  </si>
  <si>
    <t>REQ-2098</t>
  </si>
  <si>
    <t>PRJ-1160</t>
  </si>
  <si>
    <t>REQ-2099</t>
  </si>
  <si>
    <t>2025-08-29</t>
  </si>
  <si>
    <t>REQ-2100</t>
  </si>
  <si>
    <t>PRJ-1018</t>
  </si>
  <si>
    <t>2025-11-17</t>
  </si>
  <si>
    <t>REQ-2101</t>
  </si>
  <si>
    <t>PRJ-1139</t>
  </si>
  <si>
    <t>REQ-2102</t>
  </si>
  <si>
    <t>2025-08-13</t>
  </si>
  <si>
    <t>REQ-2103</t>
  </si>
  <si>
    <t>PRJ-1128</t>
  </si>
  <si>
    <t>REQ-2104</t>
  </si>
  <si>
    <t>PRJ-1154</t>
  </si>
  <si>
    <t>2025-02-16</t>
  </si>
  <si>
    <t>REQ-2105</t>
  </si>
  <si>
    <t>PRJ-1005</t>
  </si>
  <si>
    <t>2025-01-21</t>
  </si>
  <si>
    <t>REQ-2106</t>
  </si>
  <si>
    <t>2025-08-12</t>
  </si>
  <si>
    <t>REQ-2107</t>
  </si>
  <si>
    <t>REQ-2108</t>
  </si>
  <si>
    <t>2025-01-19</t>
  </si>
  <si>
    <t>REQ-2109</t>
  </si>
  <si>
    <t>PRJ-1131</t>
  </si>
  <si>
    <t>2025-08-25</t>
  </si>
  <si>
    <t>REQ-2110</t>
  </si>
  <si>
    <t>2025-04-15</t>
  </si>
  <si>
    <t>REQ-2111</t>
  </si>
  <si>
    <t>PRJ-1031</t>
  </si>
  <si>
    <t>2025-05-03</t>
  </si>
  <si>
    <t>REQ-2112</t>
  </si>
  <si>
    <t>REQ-2113</t>
  </si>
  <si>
    <t>2025-09-05</t>
  </si>
  <si>
    <t>REQ-2114</t>
  </si>
  <si>
    <t>PRJ-1048</t>
  </si>
  <si>
    <t>2025-03-11</t>
  </si>
  <si>
    <t>REQ-2115</t>
  </si>
  <si>
    <t>PRJ-1087</t>
  </si>
  <si>
    <t>2025-01-02</t>
  </si>
  <si>
    <t>REQ-2116</t>
  </si>
  <si>
    <t>REQ-2117</t>
  </si>
  <si>
    <t>PRJ-1082</t>
  </si>
  <si>
    <t>2025-10-20</t>
  </si>
  <si>
    <t>REQ-2118</t>
  </si>
  <si>
    <t>2025-07-17</t>
  </si>
  <si>
    <t>REQ-2119</t>
  </si>
  <si>
    <t>Total_Requests</t>
  </si>
  <si>
    <t>Avg_Lead_Time</t>
  </si>
  <si>
    <t>Avg_Contract_Value</t>
  </si>
  <si>
    <t>Supplier Performance</t>
  </si>
  <si>
    <t>Top 5 Suppliers</t>
  </si>
  <si>
    <t>Count of Request ID</t>
  </si>
  <si>
    <t>Avg Contract Value</t>
  </si>
  <si>
    <t>Avg Lead Time (days)</t>
  </si>
  <si>
    <t>Grand Total</t>
  </si>
  <si>
    <t>Avg Lead Time by Risk Level</t>
  </si>
  <si>
    <t>Approval Status By Supplier</t>
  </si>
  <si>
    <t>Count Request ID</t>
  </si>
  <si>
    <t>Dashboard - Supplier Summary</t>
  </si>
  <si>
    <t>Total Requests</t>
  </si>
  <si>
    <t>High Risk Suppliers</t>
  </si>
  <si>
    <t>Missing Documents by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</si>
</sst>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0" borderId="0" xfId="0" pivotButton="1" applyAlignment="1">
      <alignment wrapText="1"/>
    </xf>
    <xf numFmtId="10" fontId="0" fillId="0" borderId="0" xfId="0" applyNumberFormat="1"/>
    <xf numFmtId="0" fontId="1" fillId="2" borderId="3" xfId="0" applyFont="1" applyFill="1" applyBorder="1"/>
    <xf numFmtId="0" fontId="0" fillId="0" borderId="4" xfId="0" applyBorder="1"/>
    <xf numFmtId="0" fontId="0" fillId="0" borderId="4" xfId="0" applyBorder="1" applyAlignment="1">
      <alignment wrapText="1"/>
    </xf>
    <xf numFmtId="164" fontId="0" fillId="0" borderId="4" xfId="0" applyNumberFormat="1" applyBorder="1"/>
    <xf numFmtId="1" fontId="0" fillId="0" borderId="4" xfId="0" applyNumberFormat="1" applyBorder="1"/>
  </cellXfs>
  <cellStyles count="1">
    <cellStyle name="Normal" xfId="0" builtinId="0"/>
  </cellStyles>
  <dxfs count="14">
    <dxf>
      <numFmt numFmtId="14" formatCode="0.00%"/>
    </dxf>
    <dxf>
      <numFmt numFmtId="14" formatCode="0.00%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[workflow_optimization_project.xlsx]PivotTables!PivotTable6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Approval Status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92D050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PivotTables!$B$25:$B$26</c:f>
              <c:strCache>
                <c:ptCount val="1"/>
                <c:pt idx="0">
                  <c:v>Approved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PivotTables!$A$27:$A$37</c:f>
              <c:strCache>
                <c:ptCount val="10"/>
                <c:pt idx="0">
                  <c:v>Juniper Vendors</c:v>
                </c:pt>
                <c:pt idx="1">
                  <c:v>Ivy Manufacturing</c:v>
                </c:pt>
                <c:pt idx="2">
                  <c:v>Harbor Co.</c:v>
                </c:pt>
                <c:pt idx="3">
                  <c:v>Grove Materials</c:v>
                </c:pt>
                <c:pt idx="4">
                  <c:v>Falcon Services</c:v>
                </c:pt>
                <c:pt idx="5">
                  <c:v>Eagle Components</c:v>
                </c:pt>
                <c:pt idx="6">
                  <c:v>Delta Transport</c:v>
                </c:pt>
                <c:pt idx="7">
                  <c:v>Cedar Goods</c:v>
                </c:pt>
                <c:pt idx="8">
                  <c:v>Beacon Supplies</c:v>
                </c:pt>
                <c:pt idx="9">
                  <c:v>Alpha Logistics</c:v>
                </c:pt>
              </c:strCache>
            </c:strRef>
          </c:cat>
          <c:val>
            <c:numRef>
              <c:f>PivotTables!$B$27:$B$37</c:f>
              <c:numCache>
                <c:formatCode>General</c:formatCode>
                <c:ptCount val="10"/>
                <c:pt idx="0">
                  <c:v>10</c:v>
                </c:pt>
                <c:pt idx="1">
                  <c:v>4</c:v>
                </c:pt>
                <c:pt idx="2">
                  <c:v>9</c:v>
                </c:pt>
                <c:pt idx="3">
                  <c:v>12</c:v>
                </c:pt>
                <c:pt idx="4">
                  <c:v>6</c:v>
                </c:pt>
                <c:pt idx="5">
                  <c:v>9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E-4841-A6E3-261F0543F5B7}"/>
            </c:ext>
          </c:extLst>
        </c:ser>
        <c:ser>
          <c:idx val="1"/>
          <c:order val="1"/>
          <c:tx>
            <c:strRef>
              <c:f>PivotTables!$C$25:$C$26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PivotTables!$A$27:$A$37</c:f>
              <c:strCache>
                <c:ptCount val="10"/>
                <c:pt idx="0">
                  <c:v>Juniper Vendors</c:v>
                </c:pt>
                <c:pt idx="1">
                  <c:v>Ivy Manufacturing</c:v>
                </c:pt>
                <c:pt idx="2">
                  <c:v>Harbor Co.</c:v>
                </c:pt>
                <c:pt idx="3">
                  <c:v>Grove Materials</c:v>
                </c:pt>
                <c:pt idx="4">
                  <c:v>Falcon Services</c:v>
                </c:pt>
                <c:pt idx="5">
                  <c:v>Eagle Components</c:v>
                </c:pt>
                <c:pt idx="6">
                  <c:v>Delta Transport</c:v>
                </c:pt>
                <c:pt idx="7">
                  <c:v>Cedar Goods</c:v>
                </c:pt>
                <c:pt idx="8">
                  <c:v>Beacon Supplies</c:v>
                </c:pt>
                <c:pt idx="9">
                  <c:v>Alpha Logistics</c:v>
                </c:pt>
              </c:strCache>
            </c:strRef>
          </c:cat>
          <c:val>
            <c:numRef>
              <c:f>PivotTables!$C$27:$C$37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5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E-4841-A6E3-261F0543F5B7}"/>
            </c:ext>
          </c:extLst>
        </c:ser>
        <c:ser>
          <c:idx val="2"/>
          <c:order val="2"/>
          <c:tx>
            <c:strRef>
              <c:f>PivotTables!$D$25:$D$26</c:f>
              <c:strCache>
                <c:ptCount val="1"/>
                <c:pt idx="0">
                  <c:v>Rejected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PivotTables!$A$27:$A$37</c:f>
              <c:strCache>
                <c:ptCount val="10"/>
                <c:pt idx="0">
                  <c:v>Juniper Vendors</c:v>
                </c:pt>
                <c:pt idx="1">
                  <c:v>Ivy Manufacturing</c:v>
                </c:pt>
                <c:pt idx="2">
                  <c:v>Harbor Co.</c:v>
                </c:pt>
                <c:pt idx="3">
                  <c:v>Grove Materials</c:v>
                </c:pt>
                <c:pt idx="4">
                  <c:v>Falcon Services</c:v>
                </c:pt>
                <c:pt idx="5">
                  <c:v>Eagle Components</c:v>
                </c:pt>
                <c:pt idx="6">
                  <c:v>Delta Transport</c:v>
                </c:pt>
                <c:pt idx="7">
                  <c:v>Cedar Goods</c:v>
                </c:pt>
                <c:pt idx="8">
                  <c:v>Beacon Supplies</c:v>
                </c:pt>
                <c:pt idx="9">
                  <c:v>Alpha Logistics</c:v>
                </c:pt>
              </c:strCache>
            </c:strRef>
          </c:cat>
          <c:val>
            <c:numRef>
              <c:f>PivotTables!$D$27:$D$37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8E-4841-A6E3-261F0543F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7473288"/>
        <c:axId val="1317475336"/>
      </c:barChart>
      <c:catAx>
        <c:axId val="1317473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75336"/>
        <c:crosses val="autoZero"/>
        <c:auto val="1"/>
        <c:lblAlgn val="ctr"/>
        <c:lblOffset val="100"/>
        <c:noMultiLvlLbl val="0"/>
      </c:catAx>
      <c:valAx>
        <c:axId val="1317475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473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[workflow_optimization_project.xlsx]PivotTables!PivotTable11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 of Request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PivotTables!$A$4:$A$14</c:f>
              <c:strCache>
                <c:ptCount val="10"/>
                <c:pt idx="0">
                  <c:v>Alpha Logistics</c:v>
                </c:pt>
                <c:pt idx="1">
                  <c:v>Beacon Supplies</c:v>
                </c:pt>
                <c:pt idx="2">
                  <c:v>Cedar Goods</c:v>
                </c:pt>
                <c:pt idx="3">
                  <c:v>Delta Transport</c:v>
                </c:pt>
                <c:pt idx="4">
                  <c:v>Eagle Components</c:v>
                </c:pt>
                <c:pt idx="5">
                  <c:v>Falcon Services</c:v>
                </c:pt>
                <c:pt idx="6">
                  <c:v>Grove Materials</c:v>
                </c:pt>
                <c:pt idx="7">
                  <c:v>Harbor Co.</c:v>
                </c:pt>
                <c:pt idx="8">
                  <c:v>Ivy Manufacturing</c:v>
                </c:pt>
                <c:pt idx="9">
                  <c:v>Juniper Vendors</c:v>
                </c:pt>
              </c:strCache>
            </c:strRef>
          </c:cat>
          <c:val>
            <c:numRef>
              <c:f>PivotTables!$B$4:$B$14</c:f>
              <c:numCache>
                <c:formatCode>General</c:formatCode>
                <c:ptCount val="10"/>
                <c:pt idx="0">
                  <c:v>10</c:v>
                </c:pt>
                <c:pt idx="1">
                  <c:v>11</c:v>
                </c:pt>
                <c:pt idx="2">
                  <c:v>8</c:v>
                </c:pt>
                <c:pt idx="3">
                  <c:v>11</c:v>
                </c:pt>
                <c:pt idx="4">
                  <c:v>14</c:v>
                </c:pt>
                <c:pt idx="5">
                  <c:v>9</c:v>
                </c:pt>
                <c:pt idx="6">
                  <c:v>13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D-4D66-BE9F-D93EC7085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7303431"/>
        <c:axId val="2147305479"/>
      </c:barChart>
      <c:catAx>
        <c:axId val="2147303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05479"/>
        <c:crosses val="autoZero"/>
        <c:auto val="1"/>
        <c:lblAlgn val="ctr"/>
        <c:lblOffset val="100"/>
        <c:noMultiLvlLbl val="0"/>
      </c:catAx>
      <c:valAx>
        <c:axId val="2147305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03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[workflow_optimization_project.xlsx]PivotTables!PivotTable1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Contract Values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2D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PivotTables!$D$4:$D$14</c:f>
              <c:strCache>
                <c:ptCount val="10"/>
                <c:pt idx="0">
                  <c:v>Alpha Logistics</c:v>
                </c:pt>
                <c:pt idx="1">
                  <c:v>Beacon Supplies</c:v>
                </c:pt>
                <c:pt idx="2">
                  <c:v>Cedar Goods</c:v>
                </c:pt>
                <c:pt idx="3">
                  <c:v>Delta Transport</c:v>
                </c:pt>
                <c:pt idx="4">
                  <c:v>Eagle Components</c:v>
                </c:pt>
                <c:pt idx="5">
                  <c:v>Falcon Services</c:v>
                </c:pt>
                <c:pt idx="6">
                  <c:v>Grove Materials</c:v>
                </c:pt>
                <c:pt idx="7">
                  <c:v>Harbor Co.</c:v>
                </c:pt>
                <c:pt idx="8">
                  <c:v>Ivy Manufacturing</c:v>
                </c:pt>
                <c:pt idx="9">
                  <c:v>Juniper Vendors</c:v>
                </c:pt>
              </c:strCache>
            </c:strRef>
          </c:cat>
          <c:val>
            <c:numRef>
              <c:f>PivotTables!$E$4:$E$14</c:f>
              <c:numCache>
                <c:formatCode>General</c:formatCode>
                <c:ptCount val="10"/>
                <c:pt idx="0">
                  <c:v>20691.714</c:v>
                </c:pt>
                <c:pt idx="1">
                  <c:v>24901.34</c:v>
                </c:pt>
                <c:pt idx="2">
                  <c:v>27234.5825</c:v>
                </c:pt>
                <c:pt idx="3">
                  <c:v>20901.680909090908</c:v>
                </c:pt>
                <c:pt idx="4">
                  <c:v>27112.135714285709</c:v>
                </c:pt>
                <c:pt idx="5">
                  <c:v>20053.385555555556</c:v>
                </c:pt>
                <c:pt idx="6">
                  <c:v>28913.925384615388</c:v>
                </c:pt>
                <c:pt idx="7">
                  <c:v>27431.625333333333</c:v>
                </c:pt>
                <c:pt idx="8">
                  <c:v>31058.199285714287</c:v>
                </c:pt>
                <c:pt idx="9">
                  <c:v>30876.789999999997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45-4590-9C5B-EC770E609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742343"/>
        <c:axId val="1370252807"/>
      </c:barChart>
      <c:catAx>
        <c:axId val="1361742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0252807"/>
        <c:crosses val="autoZero"/>
        <c:auto val="1"/>
        <c:lblAlgn val="ctr"/>
        <c:lblOffset val="100"/>
        <c:noMultiLvlLbl val="0"/>
      </c:catAx>
      <c:valAx>
        <c:axId val="1370252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42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[workflow_optimization_project.xlsx]PivotTables!PivotTable9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Lead Time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79646"/>
            </a:solidFill>
            <a:ln w="9525">
              <a:solidFill>
                <a:srgbClr val="F7964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79646"/>
              </a:solidFill>
              <a:ln w="9525">
                <a:solidFill>
                  <a:srgbClr val="F79646"/>
                </a:solidFill>
                <a:prstDash val="solid"/>
              </a:ln>
              <a:effectLst/>
            </c:spPr>
          </c:marker>
          <c:cat>
            <c:strRef>
              <c:f>PivotTables!$G$4:$G$14</c:f>
              <c:strCache>
                <c:ptCount val="10"/>
                <c:pt idx="0">
                  <c:v>Alpha Logistics</c:v>
                </c:pt>
                <c:pt idx="1">
                  <c:v>Beacon Supplies</c:v>
                </c:pt>
                <c:pt idx="2">
                  <c:v>Cedar Goods</c:v>
                </c:pt>
                <c:pt idx="3">
                  <c:v>Delta Transport</c:v>
                </c:pt>
                <c:pt idx="4">
                  <c:v>Eagle Components</c:v>
                </c:pt>
                <c:pt idx="5">
                  <c:v>Falcon Services</c:v>
                </c:pt>
                <c:pt idx="6">
                  <c:v>Grove Materials</c:v>
                </c:pt>
                <c:pt idx="7">
                  <c:v>Harbor Co.</c:v>
                </c:pt>
                <c:pt idx="8">
                  <c:v>Ivy Manufacturing</c:v>
                </c:pt>
                <c:pt idx="9">
                  <c:v>Juniper Vendors</c:v>
                </c:pt>
              </c:strCache>
            </c:strRef>
          </c:cat>
          <c:val>
            <c:numRef>
              <c:f>PivotTables!$H$4:$H$14</c:f>
              <c:numCache>
                <c:formatCode>General</c:formatCode>
                <c:ptCount val="10"/>
                <c:pt idx="0">
                  <c:v>11.1</c:v>
                </c:pt>
                <c:pt idx="1">
                  <c:v>11.181818181818182</c:v>
                </c:pt>
                <c:pt idx="2">
                  <c:v>13.75</c:v>
                </c:pt>
                <c:pt idx="3">
                  <c:v>8.9090909090909083</c:v>
                </c:pt>
                <c:pt idx="4">
                  <c:v>8.6428571428571423</c:v>
                </c:pt>
                <c:pt idx="5">
                  <c:v>11.222222222222221</c:v>
                </c:pt>
                <c:pt idx="6">
                  <c:v>10.923076923076923</c:v>
                </c:pt>
                <c:pt idx="7">
                  <c:v>10.4</c:v>
                </c:pt>
                <c:pt idx="8">
                  <c:v>12</c:v>
                </c:pt>
                <c:pt idx="9">
                  <c:v>13.4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0-4A1F-83E2-367DEDA80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5787911"/>
        <c:axId val="1097313288"/>
      </c:lineChart>
      <c:catAx>
        <c:axId val="1865787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313288"/>
        <c:crosses val="autoZero"/>
        <c:auto val="1"/>
        <c:lblAlgn val="ctr"/>
        <c:lblOffset val="100"/>
        <c:noMultiLvlLbl val="0"/>
      </c:catAx>
      <c:valAx>
        <c:axId val="1097313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5787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[workflow_optimization_project.xlsx]PivotTables!PivotTable7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F79646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79646"/>
            </a:solidFill>
            <a:ln w="9525">
              <a:solidFill>
                <a:srgbClr val="F79646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PivotTables!$B$17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F7964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79646"/>
              </a:solidFill>
              <a:ln w="9525">
                <a:solidFill>
                  <a:srgbClr val="F79646"/>
                </a:solidFill>
                <a:prstDash val="solid"/>
              </a:ln>
              <a:effectLst/>
            </c:spPr>
          </c:marker>
          <c:cat>
            <c:strRef>
              <c:f>PivotTables!$A$18:$A$21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PivotTables!$B$18:$B$21</c:f>
              <c:numCache>
                <c:formatCode>General</c:formatCode>
                <c:ptCount val="3"/>
                <c:pt idx="0">
                  <c:v>11.454545454545455</c:v>
                </c:pt>
                <c:pt idx="1">
                  <c:v>10.382352941176471</c:v>
                </c:pt>
                <c:pt idx="2">
                  <c:v>10.666666666666666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1C-42DB-BCCD-5AD52C777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079687"/>
        <c:axId val="1299081735"/>
      </c:lineChart>
      <c:catAx>
        <c:axId val="1299079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081735"/>
        <c:crosses val="autoZero"/>
        <c:auto val="1"/>
        <c:lblAlgn val="ctr"/>
        <c:lblOffset val="100"/>
        <c:noMultiLvlLbl val="0"/>
      </c:catAx>
      <c:valAx>
        <c:axId val="1299081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07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 of Missing Documents by Supplier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SupportingTables!$C$2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SupportingTables!$B$3:$B$12</c:f>
              <c:strCache>
                <c:ptCount val="10"/>
                <c:pt idx="0">
                  <c:v>Alpha Logistics</c:v>
                </c:pt>
                <c:pt idx="1">
                  <c:v>Beacon Supplies</c:v>
                </c:pt>
                <c:pt idx="2">
                  <c:v>Cedar Goods</c:v>
                </c:pt>
                <c:pt idx="3">
                  <c:v>Delta Transport</c:v>
                </c:pt>
                <c:pt idx="4">
                  <c:v>Eagle Components</c:v>
                </c:pt>
                <c:pt idx="5">
                  <c:v>Falcon Services</c:v>
                </c:pt>
                <c:pt idx="6">
                  <c:v>Grove Materials</c:v>
                </c:pt>
                <c:pt idx="7">
                  <c:v>Harbor Co.</c:v>
                </c:pt>
                <c:pt idx="8">
                  <c:v>Ivy Manufacturing</c:v>
                </c:pt>
                <c:pt idx="9">
                  <c:v>Juniper Vendors</c:v>
                </c:pt>
              </c:strCache>
            </c:strRef>
          </c:cat>
          <c:val>
            <c:numRef>
              <c:f>SupportingTables!$C$3:$C$12</c:f>
              <c:numCache>
                <c:formatCode>0.00%</c:formatCode>
                <c:ptCount val="10"/>
                <c:pt idx="0">
                  <c:v>0.8</c:v>
                </c:pt>
                <c:pt idx="1">
                  <c:v>0.72727272727272729</c:v>
                </c:pt>
                <c:pt idx="2">
                  <c:v>0.875</c:v>
                </c:pt>
                <c:pt idx="3">
                  <c:v>0.72727272727272729</c:v>
                </c:pt>
                <c:pt idx="4">
                  <c:v>0.7142857142857143</c:v>
                </c:pt>
                <c:pt idx="5">
                  <c:v>0.77777777777777779</c:v>
                </c:pt>
                <c:pt idx="6">
                  <c:v>0.76923076923076927</c:v>
                </c:pt>
                <c:pt idx="7">
                  <c:v>0.8666666666666667</c:v>
                </c:pt>
                <c:pt idx="8">
                  <c:v>0.8571428571428571</c:v>
                </c:pt>
                <c:pt idx="9">
                  <c:v>0.93333333333333335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E-4D2D-B8C7-275B1DCFF335}"/>
            </c:ext>
          </c:extLst>
        </c:ser>
        <c:ser>
          <c:idx val="1"/>
          <c:order val="1"/>
          <c:tx>
            <c:strRef>
              <c:f>SupportingTables!$D$2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SupportingTables!$B$3:$B$12</c:f>
              <c:strCache>
                <c:ptCount val="10"/>
                <c:pt idx="0">
                  <c:v>Alpha Logistics</c:v>
                </c:pt>
                <c:pt idx="1">
                  <c:v>Beacon Supplies</c:v>
                </c:pt>
                <c:pt idx="2">
                  <c:v>Cedar Goods</c:v>
                </c:pt>
                <c:pt idx="3">
                  <c:v>Delta Transport</c:v>
                </c:pt>
                <c:pt idx="4">
                  <c:v>Eagle Components</c:v>
                </c:pt>
                <c:pt idx="5">
                  <c:v>Falcon Services</c:v>
                </c:pt>
                <c:pt idx="6">
                  <c:v>Grove Materials</c:v>
                </c:pt>
                <c:pt idx="7">
                  <c:v>Harbor Co.</c:v>
                </c:pt>
                <c:pt idx="8">
                  <c:v>Ivy Manufacturing</c:v>
                </c:pt>
                <c:pt idx="9">
                  <c:v>Juniper Vendors</c:v>
                </c:pt>
              </c:strCache>
            </c:strRef>
          </c:cat>
          <c:val>
            <c:numRef>
              <c:f>SupportingTables!$D$3:$D$12</c:f>
              <c:numCache>
                <c:formatCode>0.00%</c:formatCode>
                <c:ptCount val="10"/>
                <c:pt idx="0">
                  <c:v>0.2</c:v>
                </c:pt>
                <c:pt idx="1">
                  <c:v>0.27272727272727271</c:v>
                </c:pt>
                <c:pt idx="2">
                  <c:v>0.125</c:v>
                </c:pt>
                <c:pt idx="3">
                  <c:v>0.27272727272727271</c:v>
                </c:pt>
                <c:pt idx="4">
                  <c:v>0.2857142857142857</c:v>
                </c:pt>
                <c:pt idx="5">
                  <c:v>0.22222222222222221</c:v>
                </c:pt>
                <c:pt idx="6">
                  <c:v>0.23076923076923078</c:v>
                </c:pt>
                <c:pt idx="7">
                  <c:v>0.13333333333333333</c:v>
                </c:pt>
                <c:pt idx="8">
                  <c:v>0.14285714285714285</c:v>
                </c:pt>
                <c:pt idx="9">
                  <c:v>6.6666666666666666E-2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1E-4D2D-B8C7-275B1DCFF3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466759"/>
        <c:axId val="1299481607"/>
      </c:barChart>
      <c:catAx>
        <c:axId val="1299466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81607"/>
        <c:crosses val="autoZero"/>
        <c:auto val="1"/>
        <c:lblAlgn val="ctr"/>
        <c:lblOffset val="100"/>
        <c:noMultiLvlLbl val="0"/>
      </c:catAx>
      <c:valAx>
        <c:axId val="1299481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466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</xdr:col>
      <xdr:colOff>2428875</xdr:colOff>
      <xdr:row>47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D47927-414D-47C3-8BB9-2DD7CC2F9CED}"/>
            </a:ext>
            <a:ext uri="{147F2762-F138-4A5C-976F-8EAC2B608ADB}">
              <a16:predDERef xmlns:a16="http://schemas.microsoft.com/office/drawing/2014/main" pred="{6D5F6233-E968-3507-1C18-BD47A6ED0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12</xdr:row>
      <xdr:rowOff>0</xdr:rowOff>
    </xdr:from>
    <xdr:to>
      <xdr:col>1</xdr:col>
      <xdr:colOff>1695450</xdr:colOff>
      <xdr:row>26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3A4535-F3DA-4C1C-A8A0-4423F8EA9BC3}"/>
            </a:ext>
            <a:ext uri="{147F2762-F138-4A5C-976F-8EAC2B608ADB}">
              <a16:predDERef xmlns:a16="http://schemas.microsoft.com/office/drawing/2014/main" pred="{8ED47927-414D-47C3-8BB9-2DD7CC2F9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1695450</xdr:colOff>
      <xdr:row>12</xdr:row>
      <xdr:rowOff>0</xdr:rowOff>
    </xdr:from>
    <xdr:to>
      <xdr:col>4</xdr:col>
      <xdr:colOff>76200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DC8CE1-2D30-4475-8592-1B38C3BB7C76}"/>
            </a:ext>
            <a:ext uri="{147F2762-F138-4A5C-976F-8EAC2B608ADB}">
              <a16:predDERef xmlns:a16="http://schemas.microsoft.com/office/drawing/2014/main" pred="{9D3A4535-F3DA-4C1C-A8A0-4423F8EA9B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85725</xdr:colOff>
      <xdr:row>12</xdr:row>
      <xdr:rowOff>0</xdr:rowOff>
    </xdr:from>
    <xdr:to>
      <xdr:col>11</xdr:col>
      <xdr:colOff>390525</xdr:colOff>
      <xdr:row>26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B56CCD5-DA5B-4F49-A4FA-9D6B23F6179C}"/>
            </a:ext>
            <a:ext uri="{147F2762-F138-4A5C-976F-8EAC2B608ADB}">
              <a16:predDERef xmlns:a16="http://schemas.microsoft.com/office/drawing/2014/main" pred="{D1DC8CE1-2D30-4475-8592-1B38C3BB7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48</xdr:row>
      <xdr:rowOff>180975</xdr:rowOff>
    </xdr:from>
    <xdr:to>
      <xdr:col>1</xdr:col>
      <xdr:colOff>2171700</xdr:colOff>
      <xdr:row>63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7F377C-1A09-43FF-A942-6309E8B80A3C}"/>
            </a:ext>
            <a:ext uri="{147F2762-F138-4A5C-976F-8EAC2B608ADB}">
              <a16:predDERef xmlns:a16="http://schemas.microsoft.com/office/drawing/2014/main" pred="{AB56CCD5-DA5B-4F49-A4FA-9D6B23F61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1828800</xdr:colOff>
      <xdr:row>28</xdr:row>
      <xdr:rowOff>171450</xdr:rowOff>
    </xdr:from>
    <xdr:to>
      <xdr:col>9</xdr:col>
      <xdr:colOff>333375</xdr:colOff>
      <xdr:row>43</xdr:row>
      <xdr:rowOff>57150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2D02FE6-63E5-4599-B2EE-230FBDEF903B}"/>
            </a:ext>
            <a:ext uri="{147F2762-F138-4A5C-976F-8EAC2B608ADB}">
              <a16:predDERef xmlns:a16="http://schemas.microsoft.com/office/drawing/2014/main" pred="{007F377C-1A09-43FF-A942-6309E8B80A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1.618162384257" createdVersion="8" refreshedVersion="8" minRefreshableVersion="3" recordCount="120" xr:uid="{16E5BA25-7148-4788-A7D4-EA484C942B01}">
  <cacheSource type="worksheet">
    <worksheetSource name="Table1"/>
  </cacheSource>
  <cacheFields count="11">
    <cacheField name="Supplier" numFmtId="0">
      <sharedItems count="10">
        <s v="Beacon Supplies"/>
        <s v="Juniper Vendors"/>
        <s v="Delta Transport"/>
        <s v="Cedar Goods"/>
        <s v="Grove Materials"/>
        <s v="Eagle Components"/>
        <s v="Falcon Services"/>
        <s v="Harbor Co."/>
        <s v="Alpha Logistics"/>
        <s v="Ivy Manufacturing"/>
      </sharedItems>
    </cacheField>
    <cacheField name="Region" numFmtId="0">
      <sharedItems/>
    </cacheField>
    <cacheField name="Date Submitted" numFmtId="0">
      <sharedItems/>
    </cacheField>
    <cacheField name="Request ID" numFmtId="0">
      <sharedItems/>
    </cacheField>
    <cacheField name="Project ID" numFmtId="0">
      <sharedItems/>
    </cacheField>
    <cacheField name="Requester" numFmtId="0">
      <sharedItems/>
    </cacheField>
    <cacheField name="Approval Status" numFmtId="0">
      <sharedItems count="3">
        <s v="Pending"/>
        <s v="Approved"/>
        <s v="Rejected"/>
      </sharedItems>
    </cacheField>
    <cacheField name="Risk Rating" numFmtId="0">
      <sharedItems count="3">
        <s v="Low"/>
        <s v="Medium"/>
        <s v="High"/>
      </sharedItems>
    </cacheField>
    <cacheField name="Lead Time (days)" numFmtId="0">
      <sharedItems containsSemiMixedTypes="0" containsString="0" containsNumber="1" containsInteger="1" minValue="2" maxValue="25"/>
    </cacheField>
    <cacheField name="Missing Documents" numFmtId="0">
      <sharedItems count="2">
        <s v="Yes"/>
        <s v="No"/>
      </sharedItems>
    </cacheField>
    <cacheField name="Contract Value" numFmtId="0">
      <sharedItems containsSemiMixedTypes="0" containsString="0" containsNumber="1" minValue="809.26" maxValue="82790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x v="0"/>
    <s v="North"/>
    <s v="2025-05-21"/>
    <s v="REQ-2000"/>
    <s v="PRJ-1022"/>
    <s v="Clinical"/>
    <x v="0"/>
    <x v="0"/>
    <n v="14"/>
    <x v="0"/>
    <n v="22926.04"/>
  </r>
  <r>
    <x v="1"/>
    <s v="West"/>
    <s v="2025-01-17"/>
    <s v="REQ-2001"/>
    <s v="PRJ-1143"/>
    <s v="Ops Team"/>
    <x v="0"/>
    <x v="0"/>
    <n v="15"/>
    <x v="1"/>
    <n v="47845.45"/>
  </r>
  <r>
    <x v="2"/>
    <s v="Central"/>
    <s v="2025-08-03"/>
    <s v="REQ-2002"/>
    <s v="PRJ-1194"/>
    <s v="Ops Team"/>
    <x v="0"/>
    <x v="0"/>
    <n v="10"/>
    <x v="1"/>
    <n v="21487.95"/>
  </r>
  <r>
    <x v="3"/>
    <s v="West"/>
    <s v="2025-06-24"/>
    <s v="REQ-2003"/>
    <s v="PRJ-1023"/>
    <s v="Ops Team"/>
    <x v="0"/>
    <x v="0"/>
    <n v="21"/>
    <x v="1"/>
    <n v="36511.519999999997"/>
  </r>
  <r>
    <x v="4"/>
    <s v="North"/>
    <s v="2025-07-03"/>
    <s v="REQ-2004"/>
    <s v="PRJ-1137"/>
    <s v="Facilities"/>
    <x v="1"/>
    <x v="1"/>
    <n v="9"/>
    <x v="1"/>
    <n v="33138.400000000001"/>
  </r>
  <r>
    <x v="0"/>
    <s v="West"/>
    <s v="2025-02-10"/>
    <s v="REQ-2005"/>
    <s v="PRJ-1147"/>
    <s v="Finance"/>
    <x v="1"/>
    <x v="1"/>
    <n v="9"/>
    <x v="1"/>
    <n v="18014.05"/>
  </r>
  <r>
    <x v="2"/>
    <s v="North"/>
    <s v="2025-01-24"/>
    <s v="REQ-2006"/>
    <s v="PRJ-1025"/>
    <s v="Procurement"/>
    <x v="1"/>
    <x v="1"/>
    <n v="13"/>
    <x v="1"/>
    <n v="3699.2"/>
  </r>
  <r>
    <x v="4"/>
    <s v="East"/>
    <s v="2025-08-21"/>
    <s v="REQ-2007"/>
    <s v="PRJ-1171"/>
    <s v="Procurement"/>
    <x v="1"/>
    <x v="0"/>
    <n v="2"/>
    <x v="1"/>
    <n v="16565.689999999999"/>
  </r>
  <r>
    <x v="5"/>
    <s v="North"/>
    <s v="2025-11-08"/>
    <s v="REQ-2008"/>
    <s v="PRJ-1097"/>
    <s v="Facilities"/>
    <x v="1"/>
    <x v="0"/>
    <n v="5"/>
    <x v="1"/>
    <n v="29713.71"/>
  </r>
  <r>
    <x v="5"/>
    <s v="Central"/>
    <s v="2025-04-23"/>
    <s v="REQ-2009"/>
    <s v="PRJ-1008"/>
    <s v="Procurement"/>
    <x v="1"/>
    <x v="1"/>
    <n v="6"/>
    <x v="1"/>
    <n v="3815.44"/>
  </r>
  <r>
    <x v="6"/>
    <s v="West"/>
    <s v="2025-05-18"/>
    <s v="REQ-2010"/>
    <s v="PRJ-1054"/>
    <s v="Finance"/>
    <x v="0"/>
    <x v="2"/>
    <n v="20"/>
    <x v="1"/>
    <n v="21613.360000000001"/>
  </r>
  <r>
    <x v="7"/>
    <s v="West"/>
    <s v="2025-11-26"/>
    <s v="REQ-2011"/>
    <s v="PRJ-1137"/>
    <s v="Clinical"/>
    <x v="1"/>
    <x v="0"/>
    <n v="12"/>
    <x v="1"/>
    <n v="3628.78"/>
  </r>
  <r>
    <x v="5"/>
    <s v="Central"/>
    <s v="2025-08-08"/>
    <s v="REQ-2012"/>
    <s v="PRJ-1130"/>
    <s v="Procurement"/>
    <x v="1"/>
    <x v="0"/>
    <n v="8"/>
    <x v="1"/>
    <n v="26663.84"/>
  </r>
  <r>
    <x v="7"/>
    <s v="North"/>
    <s v="2025-01-25"/>
    <s v="REQ-2013"/>
    <s v="PRJ-1152"/>
    <s v="Facilities"/>
    <x v="1"/>
    <x v="0"/>
    <n v="5"/>
    <x v="0"/>
    <n v="30635.47"/>
  </r>
  <r>
    <x v="0"/>
    <s v="West"/>
    <s v="2025-07-15"/>
    <s v="REQ-2014"/>
    <s v="PRJ-1002"/>
    <s v="Clinical"/>
    <x v="1"/>
    <x v="0"/>
    <n v="8"/>
    <x v="1"/>
    <n v="20624.59"/>
  </r>
  <r>
    <x v="0"/>
    <s v="Central"/>
    <s v="2025-05-17"/>
    <s v="REQ-2015"/>
    <s v="PRJ-1116"/>
    <s v="Procurement"/>
    <x v="1"/>
    <x v="0"/>
    <n v="8"/>
    <x v="1"/>
    <n v="52784.17"/>
  </r>
  <r>
    <x v="8"/>
    <s v="East"/>
    <s v="2025-09-14"/>
    <s v="REQ-2016"/>
    <s v="PRJ-1163"/>
    <s v="Finance"/>
    <x v="1"/>
    <x v="0"/>
    <n v="11"/>
    <x v="0"/>
    <n v="9134.34"/>
  </r>
  <r>
    <x v="9"/>
    <s v="Central"/>
    <s v="2025-04-12"/>
    <s v="REQ-2017"/>
    <s v="PRJ-1000"/>
    <s v="Clinical"/>
    <x v="0"/>
    <x v="1"/>
    <n v="16"/>
    <x v="1"/>
    <n v="6687.35"/>
  </r>
  <r>
    <x v="1"/>
    <s v="East"/>
    <s v="2025-09-08"/>
    <s v="REQ-2018"/>
    <s v="PRJ-1061"/>
    <s v="Finance"/>
    <x v="0"/>
    <x v="2"/>
    <n v="13"/>
    <x v="1"/>
    <n v="4395.05"/>
  </r>
  <r>
    <x v="8"/>
    <s v="South"/>
    <s v="2025-10-18"/>
    <s v="REQ-2019"/>
    <s v="PRJ-1194"/>
    <s v="Ops Team"/>
    <x v="2"/>
    <x v="0"/>
    <n v="4"/>
    <x v="1"/>
    <n v="27952.92"/>
  </r>
  <r>
    <x v="9"/>
    <s v="South"/>
    <s v="2025-03-07"/>
    <s v="REQ-2020"/>
    <s v="PRJ-1155"/>
    <s v="Clinical"/>
    <x v="1"/>
    <x v="2"/>
    <n v="16"/>
    <x v="0"/>
    <n v="27570.52"/>
  </r>
  <r>
    <x v="4"/>
    <s v="South"/>
    <s v="2025-10-04"/>
    <s v="REQ-2021"/>
    <s v="PRJ-1171"/>
    <s v="Facilities"/>
    <x v="1"/>
    <x v="1"/>
    <n v="11"/>
    <x v="1"/>
    <n v="20483.439999999999"/>
  </r>
  <r>
    <x v="6"/>
    <s v="West"/>
    <s v="2025-09-22"/>
    <s v="REQ-2022"/>
    <s v="PRJ-1150"/>
    <s v="Ops Team"/>
    <x v="1"/>
    <x v="0"/>
    <n v="3"/>
    <x v="0"/>
    <n v="14202.34"/>
  </r>
  <r>
    <x v="9"/>
    <s v="South"/>
    <s v="2025-10-29"/>
    <s v="REQ-2023"/>
    <s v="PRJ-1017"/>
    <s v="Procurement"/>
    <x v="0"/>
    <x v="0"/>
    <n v="9"/>
    <x v="1"/>
    <n v="40856.83"/>
  </r>
  <r>
    <x v="8"/>
    <s v="East"/>
    <s v="2025-02-06"/>
    <s v="REQ-2024"/>
    <s v="PRJ-1033"/>
    <s v="Clinical"/>
    <x v="1"/>
    <x v="0"/>
    <n v="14"/>
    <x v="1"/>
    <n v="1445.6"/>
  </r>
  <r>
    <x v="1"/>
    <s v="Central"/>
    <s v="2025-08-31"/>
    <s v="REQ-2025"/>
    <s v="PRJ-1024"/>
    <s v="Ops Team"/>
    <x v="0"/>
    <x v="0"/>
    <n v="13"/>
    <x v="1"/>
    <n v="19223.77"/>
  </r>
  <r>
    <x v="4"/>
    <s v="East"/>
    <s v="2025-08-05"/>
    <s v="REQ-2026"/>
    <s v="PRJ-1015"/>
    <s v="Ops Team"/>
    <x v="1"/>
    <x v="1"/>
    <n v="7"/>
    <x v="0"/>
    <n v="34175.14"/>
  </r>
  <r>
    <x v="4"/>
    <s v="East"/>
    <s v="2025-02-25"/>
    <s v="REQ-2027"/>
    <s v="PRJ-1046"/>
    <s v="Facilities"/>
    <x v="0"/>
    <x v="0"/>
    <n v="18"/>
    <x v="1"/>
    <n v="38969.199999999997"/>
  </r>
  <r>
    <x v="5"/>
    <s v="West"/>
    <s v="2025-05-08"/>
    <s v="REQ-2028"/>
    <s v="PRJ-1025"/>
    <s v="Clinical"/>
    <x v="1"/>
    <x v="0"/>
    <n v="6"/>
    <x v="1"/>
    <n v="20361.810000000001"/>
  </r>
  <r>
    <x v="8"/>
    <s v="Central"/>
    <s v="2025-01-08"/>
    <s v="REQ-2029"/>
    <s v="PRJ-1104"/>
    <s v="Procurement"/>
    <x v="2"/>
    <x v="2"/>
    <n v="13"/>
    <x v="1"/>
    <n v="39633.18"/>
  </r>
  <r>
    <x v="7"/>
    <s v="West"/>
    <s v="2025-04-20"/>
    <s v="REQ-2030"/>
    <s v="PRJ-1099"/>
    <s v="Ops Team"/>
    <x v="1"/>
    <x v="2"/>
    <n v="9"/>
    <x v="0"/>
    <n v="22215.119999999999"/>
  </r>
  <r>
    <x v="5"/>
    <s v="West"/>
    <s v="2025-05-27"/>
    <s v="REQ-2031"/>
    <s v="PRJ-1169"/>
    <s v="Clinical"/>
    <x v="1"/>
    <x v="2"/>
    <n v="5"/>
    <x v="1"/>
    <n v="7056.9"/>
  </r>
  <r>
    <x v="7"/>
    <s v="South"/>
    <s v="2025-04-08"/>
    <s v="REQ-2032"/>
    <s v="PRJ-1015"/>
    <s v="Clinical"/>
    <x v="0"/>
    <x v="2"/>
    <n v="16"/>
    <x v="1"/>
    <n v="45343.6"/>
  </r>
  <r>
    <x v="6"/>
    <s v="North"/>
    <s v="2025-01-26"/>
    <s v="REQ-2033"/>
    <s v="PRJ-1014"/>
    <s v="Procurement"/>
    <x v="1"/>
    <x v="0"/>
    <n v="11"/>
    <x v="1"/>
    <n v="40052.99"/>
  </r>
  <r>
    <x v="9"/>
    <s v="North"/>
    <s v="2025-04-06"/>
    <s v="REQ-2034"/>
    <s v="PRJ-1030"/>
    <s v="Facilities"/>
    <x v="0"/>
    <x v="0"/>
    <n v="14"/>
    <x v="1"/>
    <n v="15323.2"/>
  </r>
  <r>
    <x v="1"/>
    <s v="South"/>
    <s v="2025-10-24"/>
    <s v="REQ-2035"/>
    <s v="PRJ-1144"/>
    <s v="Clinical"/>
    <x v="1"/>
    <x v="1"/>
    <n v="14"/>
    <x v="1"/>
    <n v="48070.55"/>
  </r>
  <r>
    <x v="9"/>
    <s v="East"/>
    <s v="2025-05-14"/>
    <s v="REQ-2036"/>
    <s v="PRJ-1033"/>
    <s v="Facilities"/>
    <x v="0"/>
    <x v="1"/>
    <n v="11"/>
    <x v="1"/>
    <n v="48469.65"/>
  </r>
  <r>
    <x v="5"/>
    <s v="West"/>
    <s v="2025-06-11"/>
    <s v="REQ-2037"/>
    <s v="PRJ-1144"/>
    <s v="Clinical"/>
    <x v="2"/>
    <x v="2"/>
    <n v="2"/>
    <x v="0"/>
    <n v="37328.54"/>
  </r>
  <r>
    <x v="0"/>
    <s v="North"/>
    <s v="2025-10-03"/>
    <s v="REQ-2038"/>
    <s v="PRJ-1062"/>
    <s v="Ops Team"/>
    <x v="0"/>
    <x v="0"/>
    <n v="12"/>
    <x v="1"/>
    <n v="20514.89"/>
  </r>
  <r>
    <x v="6"/>
    <s v="East"/>
    <s v="2025-03-22"/>
    <s v="REQ-2039"/>
    <s v="PRJ-1002"/>
    <s v="Clinical"/>
    <x v="1"/>
    <x v="0"/>
    <n v="12"/>
    <x v="1"/>
    <n v="4813.53"/>
  </r>
  <r>
    <x v="9"/>
    <s v="East"/>
    <s v="2025-02-23"/>
    <s v="REQ-2040"/>
    <s v="PRJ-1190"/>
    <s v="Ops Team"/>
    <x v="2"/>
    <x v="0"/>
    <n v="10"/>
    <x v="0"/>
    <n v="30356.69"/>
  </r>
  <r>
    <x v="9"/>
    <s v="South"/>
    <s v="2025-05-20"/>
    <s v="REQ-2041"/>
    <s v="PRJ-1129"/>
    <s v="Finance"/>
    <x v="0"/>
    <x v="0"/>
    <n v="20"/>
    <x v="1"/>
    <n v="17225.95"/>
  </r>
  <r>
    <x v="7"/>
    <s v="East"/>
    <s v="2025-01-27"/>
    <s v="REQ-2042"/>
    <s v="PRJ-1085"/>
    <s v="Ops Team"/>
    <x v="0"/>
    <x v="0"/>
    <n v="7"/>
    <x v="1"/>
    <n v="17473.64"/>
  </r>
  <r>
    <x v="3"/>
    <s v="East"/>
    <s v="2025-03-24"/>
    <s v="REQ-2043"/>
    <s v="PRJ-1028"/>
    <s v="Ops Team"/>
    <x v="1"/>
    <x v="0"/>
    <n v="17"/>
    <x v="1"/>
    <n v="29931.27"/>
  </r>
  <r>
    <x v="0"/>
    <s v="South"/>
    <s v="2025-10-07"/>
    <s v="REQ-2044"/>
    <s v="PRJ-1032"/>
    <s v="Facilities"/>
    <x v="0"/>
    <x v="0"/>
    <n v="8"/>
    <x v="1"/>
    <n v="32699.01"/>
  </r>
  <r>
    <x v="8"/>
    <s v="East"/>
    <s v="2025-07-06"/>
    <s v="REQ-2045"/>
    <s v="PRJ-1053"/>
    <s v="Finance"/>
    <x v="1"/>
    <x v="1"/>
    <n v="12"/>
    <x v="1"/>
    <n v="39529.67"/>
  </r>
  <r>
    <x v="2"/>
    <s v="North"/>
    <s v="2025-07-01"/>
    <s v="REQ-2046"/>
    <s v="PRJ-1191"/>
    <s v="Clinical"/>
    <x v="1"/>
    <x v="1"/>
    <n v="7"/>
    <x v="1"/>
    <n v="20085.07"/>
  </r>
  <r>
    <x v="3"/>
    <s v="South"/>
    <s v="2025-03-25"/>
    <s v="REQ-2047"/>
    <s v="PRJ-1045"/>
    <s v="Ops Team"/>
    <x v="2"/>
    <x v="1"/>
    <n v="9"/>
    <x v="1"/>
    <n v="3047.28"/>
  </r>
  <r>
    <x v="6"/>
    <s v="West"/>
    <s v="2025-05-08"/>
    <s v="REQ-2048"/>
    <s v="PRJ-1120"/>
    <s v="Ops Team"/>
    <x v="0"/>
    <x v="1"/>
    <n v="13"/>
    <x v="0"/>
    <n v="28915.83"/>
  </r>
  <r>
    <x v="2"/>
    <s v="South"/>
    <s v="2025-08-24"/>
    <s v="REQ-2049"/>
    <s v="PRJ-1006"/>
    <s v="Procurement"/>
    <x v="0"/>
    <x v="1"/>
    <n v="12"/>
    <x v="1"/>
    <n v="21481.19"/>
  </r>
  <r>
    <x v="2"/>
    <s v="West"/>
    <s v="2025-06-18"/>
    <s v="REQ-2050"/>
    <s v="PRJ-1164"/>
    <s v="Finance"/>
    <x v="0"/>
    <x v="0"/>
    <n v="3"/>
    <x v="1"/>
    <n v="18690.32"/>
  </r>
  <r>
    <x v="9"/>
    <s v="West"/>
    <s v="2025-10-02"/>
    <s v="REQ-2051"/>
    <s v="PRJ-1045"/>
    <s v="Finance"/>
    <x v="0"/>
    <x v="0"/>
    <n v="9"/>
    <x v="1"/>
    <n v="12965.84"/>
  </r>
  <r>
    <x v="1"/>
    <s v="East"/>
    <s v="2025-01-20"/>
    <s v="REQ-2052"/>
    <s v="PRJ-1111"/>
    <s v="Finance"/>
    <x v="0"/>
    <x v="0"/>
    <n v="11"/>
    <x v="1"/>
    <n v="31060.76"/>
  </r>
  <r>
    <x v="1"/>
    <s v="Central"/>
    <s v="2025-03-01"/>
    <s v="REQ-2053"/>
    <s v="PRJ-1000"/>
    <s v="Facilities"/>
    <x v="1"/>
    <x v="0"/>
    <n v="23"/>
    <x v="1"/>
    <n v="27618.67"/>
  </r>
  <r>
    <x v="9"/>
    <s v="Central"/>
    <s v="2025-04-11"/>
    <s v="REQ-2054"/>
    <s v="PRJ-1159"/>
    <s v="Finance"/>
    <x v="1"/>
    <x v="0"/>
    <n v="13"/>
    <x v="1"/>
    <n v="23883.31"/>
  </r>
  <r>
    <x v="6"/>
    <s v="North"/>
    <s v="2025-06-03"/>
    <s v="REQ-2055"/>
    <s v="PRJ-1141"/>
    <s v="Finance"/>
    <x v="1"/>
    <x v="1"/>
    <n v="2"/>
    <x v="1"/>
    <n v="24602.29"/>
  </r>
  <r>
    <x v="3"/>
    <s v="South"/>
    <s v="2025-08-04"/>
    <s v="REQ-2056"/>
    <s v="PRJ-1157"/>
    <s v="Procurement"/>
    <x v="1"/>
    <x v="0"/>
    <n v="12"/>
    <x v="1"/>
    <n v="61948.63"/>
  </r>
  <r>
    <x v="1"/>
    <s v="East"/>
    <s v="2025-07-27"/>
    <s v="REQ-2057"/>
    <s v="PRJ-1148"/>
    <s v="Facilities"/>
    <x v="1"/>
    <x v="0"/>
    <n v="10"/>
    <x v="1"/>
    <n v="29523.21"/>
  </r>
  <r>
    <x v="1"/>
    <s v="East"/>
    <s v="2025-08-27"/>
    <s v="REQ-2058"/>
    <s v="PRJ-1168"/>
    <s v="Procurement"/>
    <x v="1"/>
    <x v="1"/>
    <n v="11"/>
    <x v="1"/>
    <n v="7469.83"/>
  </r>
  <r>
    <x v="0"/>
    <s v="East"/>
    <s v="2025-09-21"/>
    <s v="REQ-2059"/>
    <s v="PRJ-1172"/>
    <s v="Procurement"/>
    <x v="1"/>
    <x v="1"/>
    <n v="18"/>
    <x v="0"/>
    <n v="36279"/>
  </r>
  <r>
    <x v="5"/>
    <s v="South"/>
    <s v="2025-04-12"/>
    <s v="REQ-2060"/>
    <s v="PRJ-1196"/>
    <s v="Clinical"/>
    <x v="0"/>
    <x v="0"/>
    <n v="16"/>
    <x v="1"/>
    <n v="11359.19"/>
  </r>
  <r>
    <x v="0"/>
    <s v="West"/>
    <s v="2025-08-01"/>
    <s v="REQ-2061"/>
    <s v="PRJ-1126"/>
    <s v="Facilities"/>
    <x v="1"/>
    <x v="0"/>
    <n v="20"/>
    <x v="1"/>
    <n v="3972.23"/>
  </r>
  <r>
    <x v="4"/>
    <s v="South"/>
    <s v="2025-03-17"/>
    <s v="REQ-2062"/>
    <s v="PRJ-1199"/>
    <s v="Ops Team"/>
    <x v="1"/>
    <x v="0"/>
    <n v="15"/>
    <x v="1"/>
    <n v="57856.83"/>
  </r>
  <r>
    <x v="4"/>
    <s v="South"/>
    <s v="2025-04-01"/>
    <s v="REQ-2063"/>
    <s v="PRJ-1063"/>
    <s v="Clinical"/>
    <x v="1"/>
    <x v="1"/>
    <n v="6"/>
    <x v="1"/>
    <n v="16505.53"/>
  </r>
  <r>
    <x v="0"/>
    <s v="West"/>
    <s v="2025-03-10"/>
    <s v="REQ-2064"/>
    <s v="PRJ-1081"/>
    <s v="Clinical"/>
    <x v="1"/>
    <x v="1"/>
    <n v="12"/>
    <x v="1"/>
    <n v="17447.87"/>
  </r>
  <r>
    <x v="7"/>
    <s v="Central"/>
    <s v="2025-09-16"/>
    <s v="REQ-2065"/>
    <s v="PRJ-1190"/>
    <s v="Procurement"/>
    <x v="1"/>
    <x v="2"/>
    <n v="2"/>
    <x v="1"/>
    <n v="26028.44"/>
  </r>
  <r>
    <x v="7"/>
    <s v="West"/>
    <s v="2025-05-13"/>
    <s v="REQ-2066"/>
    <s v="PRJ-1124"/>
    <s v="Clinical"/>
    <x v="1"/>
    <x v="1"/>
    <n v="5"/>
    <x v="1"/>
    <n v="32103.89"/>
  </r>
  <r>
    <x v="2"/>
    <s v="East"/>
    <s v="2025-08-14"/>
    <s v="REQ-2067"/>
    <s v="PRJ-1138"/>
    <s v="Finance"/>
    <x v="0"/>
    <x v="0"/>
    <n v="6"/>
    <x v="1"/>
    <n v="48249.02"/>
  </r>
  <r>
    <x v="0"/>
    <s v="South"/>
    <s v="2025-03-19"/>
    <s v="REQ-2068"/>
    <s v="PRJ-1106"/>
    <s v="Ops Team"/>
    <x v="0"/>
    <x v="1"/>
    <n v="7"/>
    <x v="1"/>
    <n v="20169.080000000002"/>
  </r>
  <r>
    <x v="4"/>
    <s v="East"/>
    <s v="2025-10-05"/>
    <s v="REQ-2069"/>
    <s v="PRJ-1197"/>
    <s v="Facilities"/>
    <x v="1"/>
    <x v="0"/>
    <n v="16"/>
    <x v="1"/>
    <n v="6537.04"/>
  </r>
  <r>
    <x v="1"/>
    <s v="North"/>
    <s v="2025-10-22"/>
    <s v="REQ-2070"/>
    <s v="PRJ-1107"/>
    <s v="Facilities"/>
    <x v="1"/>
    <x v="0"/>
    <n v="13"/>
    <x v="1"/>
    <n v="44607.14"/>
  </r>
  <r>
    <x v="9"/>
    <s v="Central"/>
    <s v="2025-11-05"/>
    <s v="REQ-2071"/>
    <s v="PRJ-1007"/>
    <s v="Facilities"/>
    <x v="1"/>
    <x v="0"/>
    <n v="2"/>
    <x v="1"/>
    <n v="27769.51"/>
  </r>
  <r>
    <x v="4"/>
    <s v="East"/>
    <s v="2025-07-27"/>
    <s v="REQ-2072"/>
    <s v="PRJ-1136"/>
    <s v="Clinical"/>
    <x v="1"/>
    <x v="1"/>
    <n v="13"/>
    <x v="1"/>
    <n v="36727.339999999997"/>
  </r>
  <r>
    <x v="8"/>
    <s v="West"/>
    <s v="2025-10-31"/>
    <s v="REQ-2073"/>
    <s v="PRJ-1118"/>
    <s v="Procurement"/>
    <x v="1"/>
    <x v="0"/>
    <n v="4"/>
    <x v="1"/>
    <n v="5193.1499999999996"/>
  </r>
  <r>
    <x v="3"/>
    <s v="North"/>
    <s v="2025-05-14"/>
    <s v="REQ-2074"/>
    <s v="PRJ-1071"/>
    <s v="Facilities"/>
    <x v="1"/>
    <x v="0"/>
    <n v="15"/>
    <x v="1"/>
    <n v="29454.77"/>
  </r>
  <r>
    <x v="4"/>
    <s v="East"/>
    <s v="2025-02-11"/>
    <s v="REQ-2075"/>
    <s v="PRJ-1057"/>
    <s v="Finance"/>
    <x v="1"/>
    <x v="1"/>
    <n v="13"/>
    <x v="0"/>
    <n v="30196.720000000001"/>
  </r>
  <r>
    <x v="0"/>
    <s v="North"/>
    <s v="2025-01-16"/>
    <s v="REQ-2076"/>
    <s v="PRJ-1061"/>
    <s v="Procurement"/>
    <x v="2"/>
    <x v="0"/>
    <n v="7"/>
    <x v="0"/>
    <n v="28483.81"/>
  </r>
  <r>
    <x v="3"/>
    <s v="West"/>
    <s v="2025-02-28"/>
    <s v="REQ-2077"/>
    <s v="PRJ-1042"/>
    <s v="Finance"/>
    <x v="1"/>
    <x v="0"/>
    <n v="13"/>
    <x v="1"/>
    <n v="14284.73"/>
  </r>
  <r>
    <x v="1"/>
    <s v="Central"/>
    <s v="2025-02-28"/>
    <s v="REQ-2078"/>
    <s v="PRJ-1006"/>
    <s v="Clinical"/>
    <x v="1"/>
    <x v="0"/>
    <n v="23"/>
    <x v="1"/>
    <n v="32107.49"/>
  </r>
  <r>
    <x v="5"/>
    <s v="Central"/>
    <s v="2025-07-12"/>
    <s v="REQ-2079"/>
    <s v="PRJ-1026"/>
    <s v="Procurement"/>
    <x v="1"/>
    <x v="1"/>
    <n v="4"/>
    <x v="0"/>
    <n v="34848.300000000003"/>
  </r>
  <r>
    <x v="5"/>
    <s v="Central"/>
    <s v="2025-03-03"/>
    <s v="REQ-2080"/>
    <s v="PRJ-1109"/>
    <s v="Clinical"/>
    <x v="1"/>
    <x v="0"/>
    <n v="6"/>
    <x v="0"/>
    <n v="36806.269999999997"/>
  </r>
  <r>
    <x v="6"/>
    <s v="North"/>
    <s v="2025-09-17"/>
    <s v="REQ-2081"/>
    <s v="PRJ-1027"/>
    <s v="Facilities"/>
    <x v="1"/>
    <x v="0"/>
    <n v="18"/>
    <x v="1"/>
    <n v="12689.77"/>
  </r>
  <r>
    <x v="4"/>
    <s v="East"/>
    <s v="2025-11-22"/>
    <s v="REQ-2082"/>
    <s v="PRJ-1187"/>
    <s v="Procurement"/>
    <x v="1"/>
    <x v="0"/>
    <n v="17"/>
    <x v="0"/>
    <n v="31191.71"/>
  </r>
  <r>
    <x v="9"/>
    <s v="East"/>
    <s v="2025-11-12"/>
    <s v="REQ-2083"/>
    <s v="PRJ-1187"/>
    <s v="Facilities"/>
    <x v="1"/>
    <x v="0"/>
    <n v="16"/>
    <x v="1"/>
    <n v="53451.89"/>
  </r>
  <r>
    <x v="1"/>
    <s v="East"/>
    <s v="2025-06-15"/>
    <s v="REQ-2084"/>
    <s v="PRJ-1062"/>
    <s v="Facilities"/>
    <x v="1"/>
    <x v="1"/>
    <n v="10"/>
    <x v="0"/>
    <n v="13693.96"/>
  </r>
  <r>
    <x v="7"/>
    <s v="Central"/>
    <s v="2025-11-09"/>
    <s v="REQ-2085"/>
    <s v="PRJ-1046"/>
    <s v="Finance"/>
    <x v="1"/>
    <x v="0"/>
    <n v="6"/>
    <x v="1"/>
    <n v="12762.85"/>
  </r>
  <r>
    <x v="7"/>
    <s v="South"/>
    <s v="2025-07-01"/>
    <s v="REQ-2086"/>
    <s v="PRJ-1142"/>
    <s v="Finance"/>
    <x v="1"/>
    <x v="0"/>
    <n v="11"/>
    <x v="1"/>
    <n v="30117.279999999999"/>
  </r>
  <r>
    <x v="8"/>
    <s v="Central"/>
    <s v="2025-04-08"/>
    <s v="REQ-2087"/>
    <s v="PRJ-1176"/>
    <s v="Procurement"/>
    <x v="0"/>
    <x v="1"/>
    <n v="13"/>
    <x v="1"/>
    <n v="37407.75"/>
  </r>
  <r>
    <x v="7"/>
    <s v="West"/>
    <s v="2025-08-18"/>
    <s v="REQ-2088"/>
    <s v="PRJ-1078"/>
    <s v="Procurement"/>
    <x v="1"/>
    <x v="0"/>
    <n v="12"/>
    <x v="1"/>
    <n v="46803.01"/>
  </r>
  <r>
    <x v="1"/>
    <s v="East"/>
    <s v="2025-08-31"/>
    <s v="REQ-2089"/>
    <s v="PRJ-1084"/>
    <s v="Clinical"/>
    <x v="1"/>
    <x v="0"/>
    <n v="10"/>
    <x v="1"/>
    <n v="65802.539999999994"/>
  </r>
  <r>
    <x v="6"/>
    <s v="West"/>
    <s v="2025-05-19"/>
    <s v="REQ-2090"/>
    <s v="PRJ-1030"/>
    <s v="Finance"/>
    <x v="0"/>
    <x v="0"/>
    <n v="15"/>
    <x v="1"/>
    <n v="12142.64"/>
  </r>
  <r>
    <x v="9"/>
    <s v="South"/>
    <s v="2025-04-09"/>
    <s v="REQ-2091"/>
    <s v="PRJ-1152"/>
    <s v="Clinical"/>
    <x v="0"/>
    <x v="0"/>
    <n v="5"/>
    <x v="1"/>
    <n v="32237.09"/>
  </r>
  <r>
    <x v="5"/>
    <s v="North"/>
    <s v="2025-04-10"/>
    <s v="REQ-2092"/>
    <s v="PRJ-1032"/>
    <s v="Clinical"/>
    <x v="0"/>
    <x v="0"/>
    <n v="10"/>
    <x v="1"/>
    <n v="35710.01"/>
  </r>
  <r>
    <x v="5"/>
    <s v="North"/>
    <s v="2025-01-28"/>
    <s v="REQ-2093"/>
    <s v="PRJ-1026"/>
    <s v="Facilities"/>
    <x v="1"/>
    <x v="1"/>
    <n v="14"/>
    <x v="0"/>
    <n v="23907.57"/>
  </r>
  <r>
    <x v="8"/>
    <s v="Central"/>
    <s v="2025-05-26"/>
    <s v="REQ-2094"/>
    <s v="PRJ-1064"/>
    <s v="Ops Team"/>
    <x v="1"/>
    <x v="0"/>
    <n v="6"/>
    <x v="1"/>
    <n v="2277.29"/>
  </r>
  <r>
    <x v="7"/>
    <s v="North"/>
    <s v="2025-02-03"/>
    <s v="REQ-2095"/>
    <s v="PRJ-1038"/>
    <s v="Ops Team"/>
    <x v="1"/>
    <x v="0"/>
    <n v="9"/>
    <x v="1"/>
    <n v="37845.980000000003"/>
  </r>
  <r>
    <x v="3"/>
    <s v="Central"/>
    <s v="2025-06-05"/>
    <s v="REQ-2096"/>
    <s v="PRJ-1155"/>
    <s v="Facilities"/>
    <x v="0"/>
    <x v="0"/>
    <n v="13"/>
    <x v="1"/>
    <n v="6313.92"/>
  </r>
  <r>
    <x v="1"/>
    <s v="Central"/>
    <s v="2025-04-26"/>
    <s v="REQ-2097"/>
    <s v="PRJ-1150"/>
    <s v="Finance"/>
    <x v="1"/>
    <x v="0"/>
    <n v="13"/>
    <x v="1"/>
    <n v="30779.759999999998"/>
  </r>
  <r>
    <x v="4"/>
    <s v="East"/>
    <s v="2025-10-19"/>
    <s v="REQ-2098"/>
    <s v="PRJ-1160"/>
    <s v="Procurement"/>
    <x v="1"/>
    <x v="1"/>
    <n v="6"/>
    <x v="1"/>
    <n v="27305.88"/>
  </r>
  <r>
    <x v="2"/>
    <s v="East"/>
    <s v="2025-02-11"/>
    <s v="REQ-2099"/>
    <s v="PRJ-1104"/>
    <s v="Ops Team"/>
    <x v="0"/>
    <x v="0"/>
    <n v="12"/>
    <x v="0"/>
    <n v="7855.45"/>
  </r>
  <r>
    <x v="7"/>
    <s v="Central"/>
    <s v="2025-08-29"/>
    <s v="REQ-2100"/>
    <s v="PRJ-1018"/>
    <s v="Facilities"/>
    <x v="0"/>
    <x v="0"/>
    <n v="14"/>
    <x v="1"/>
    <n v="33411.769999999997"/>
  </r>
  <r>
    <x v="2"/>
    <s v="East"/>
    <s v="2025-11-17"/>
    <s v="REQ-2101"/>
    <s v="PRJ-1139"/>
    <s v="Ops Team"/>
    <x v="1"/>
    <x v="1"/>
    <n v="18"/>
    <x v="1"/>
    <n v="40807.03"/>
  </r>
  <r>
    <x v="2"/>
    <s v="South"/>
    <s v="2025-05-17"/>
    <s v="REQ-2102"/>
    <s v="PRJ-1152"/>
    <s v="Finance"/>
    <x v="1"/>
    <x v="0"/>
    <n v="3"/>
    <x v="0"/>
    <n v="10932.62"/>
  </r>
  <r>
    <x v="1"/>
    <s v="East"/>
    <s v="2025-08-13"/>
    <s v="REQ-2103"/>
    <s v="PRJ-1128"/>
    <s v="Finance"/>
    <x v="0"/>
    <x v="1"/>
    <n v="15"/>
    <x v="1"/>
    <n v="32706.79"/>
  </r>
  <r>
    <x v="9"/>
    <s v="West"/>
    <s v="2025-08-13"/>
    <s v="REQ-2104"/>
    <s v="PRJ-1154"/>
    <s v="Finance"/>
    <x v="0"/>
    <x v="0"/>
    <n v="15"/>
    <x v="1"/>
    <n v="82790.97"/>
  </r>
  <r>
    <x v="5"/>
    <s v="North"/>
    <s v="2025-02-16"/>
    <s v="REQ-2105"/>
    <s v="PRJ-1005"/>
    <s v="Clinical"/>
    <x v="0"/>
    <x v="1"/>
    <n v="15"/>
    <x v="1"/>
    <n v="42033.48"/>
  </r>
  <r>
    <x v="5"/>
    <s v="Central"/>
    <s v="2025-01-21"/>
    <s v="REQ-2106"/>
    <s v="PRJ-1071"/>
    <s v="Facilities"/>
    <x v="1"/>
    <x v="0"/>
    <n v="17"/>
    <x v="1"/>
    <n v="34770.870000000003"/>
  </r>
  <r>
    <x v="3"/>
    <s v="Central"/>
    <s v="2025-08-12"/>
    <s v="REQ-2107"/>
    <s v="PRJ-1104"/>
    <s v="Finance"/>
    <x v="1"/>
    <x v="0"/>
    <n v="10"/>
    <x v="0"/>
    <n v="36384.54"/>
  </r>
  <r>
    <x v="6"/>
    <s v="East"/>
    <s v="2025-02-23"/>
    <s v="REQ-2108"/>
    <s v="PRJ-1169"/>
    <s v="Finance"/>
    <x v="1"/>
    <x v="0"/>
    <n v="7"/>
    <x v="1"/>
    <n v="21447.72"/>
  </r>
  <r>
    <x v="4"/>
    <s v="Central"/>
    <s v="2025-01-19"/>
    <s v="REQ-2109"/>
    <s v="PRJ-1131"/>
    <s v="Facilities"/>
    <x v="1"/>
    <x v="0"/>
    <n v="9"/>
    <x v="1"/>
    <n v="26228.11"/>
  </r>
  <r>
    <x v="8"/>
    <s v="Central"/>
    <s v="2025-08-25"/>
    <s v="REQ-2110"/>
    <s v="PRJ-1160"/>
    <s v="Facilities"/>
    <x v="1"/>
    <x v="0"/>
    <n v="25"/>
    <x v="1"/>
    <n v="3008.98"/>
  </r>
  <r>
    <x v="7"/>
    <s v="North"/>
    <s v="2025-04-15"/>
    <s v="REQ-2111"/>
    <s v="PRJ-1031"/>
    <s v="Facilities"/>
    <x v="0"/>
    <x v="0"/>
    <n v="16"/>
    <x v="1"/>
    <n v="809.26"/>
  </r>
  <r>
    <x v="8"/>
    <s v="Central"/>
    <s v="2025-05-03"/>
    <s v="REQ-2112"/>
    <s v="PRJ-1023"/>
    <s v="Facilities"/>
    <x v="1"/>
    <x v="0"/>
    <n v="9"/>
    <x v="0"/>
    <n v="41334.26"/>
  </r>
  <r>
    <x v="2"/>
    <s v="North"/>
    <s v="2025-08-25"/>
    <s v="REQ-2113"/>
    <s v="PRJ-1130"/>
    <s v="Finance"/>
    <x v="2"/>
    <x v="1"/>
    <n v="12"/>
    <x v="0"/>
    <n v="8833.83"/>
  </r>
  <r>
    <x v="5"/>
    <s v="West"/>
    <s v="2025-09-05"/>
    <s v="REQ-2114"/>
    <s v="PRJ-1048"/>
    <s v="Facilities"/>
    <x v="2"/>
    <x v="0"/>
    <n v="7"/>
    <x v="1"/>
    <n v="35193.97"/>
  </r>
  <r>
    <x v="1"/>
    <s v="Central"/>
    <s v="2025-03-11"/>
    <s v="REQ-2115"/>
    <s v="PRJ-1087"/>
    <s v="Facilities"/>
    <x v="1"/>
    <x v="0"/>
    <n v="7"/>
    <x v="1"/>
    <n v="28246.880000000001"/>
  </r>
  <r>
    <x v="9"/>
    <s v="East"/>
    <s v="2025-01-02"/>
    <s v="REQ-2116"/>
    <s v="PRJ-1038"/>
    <s v="Facilities"/>
    <x v="0"/>
    <x v="0"/>
    <n v="12"/>
    <x v="1"/>
    <n v="15225.99"/>
  </r>
  <r>
    <x v="7"/>
    <s v="Central"/>
    <s v="2025-09-05"/>
    <s v="REQ-2117"/>
    <s v="PRJ-1082"/>
    <s v="Facilities"/>
    <x v="0"/>
    <x v="0"/>
    <n v="24"/>
    <x v="1"/>
    <n v="34508.79"/>
  </r>
  <r>
    <x v="2"/>
    <s v="South"/>
    <s v="2025-10-20"/>
    <s v="REQ-2118"/>
    <s v="PRJ-1190"/>
    <s v="Finance"/>
    <x v="1"/>
    <x v="1"/>
    <n v="2"/>
    <x v="1"/>
    <n v="27796.81"/>
  </r>
  <r>
    <x v="7"/>
    <s v="West"/>
    <s v="2025-07-17"/>
    <s v="REQ-2119"/>
    <s v="PRJ-1126"/>
    <s v="Procurement"/>
    <x v="2"/>
    <x v="1"/>
    <n v="8"/>
    <x v="1"/>
    <n v="3778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3ED1E7-879D-4C21-A4E4-C3997BADF70A}" name="PivotTable11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14" firstHeaderRow="1" firstDataRow="1" firstDataCol="1"/>
  <pivotFields count="11">
    <pivotField axis="axisRow" compact="0" outline="0" showAll="0">
      <items count="11">
        <item x="8"/>
        <item x="0"/>
        <item x="3"/>
        <item x="2"/>
        <item x="5"/>
        <item x="6"/>
        <item x="4"/>
        <item x="7"/>
        <item x="9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Request ID" fld="3" subtotal="count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531EB2-D669-473F-A598-204301CED4C3}" name="PivotTable9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G3:H14" firstHeaderRow="1" firstDataRow="1" firstDataCol="1"/>
  <pivotFields count="11">
    <pivotField axis="axisRow" compact="0" outline="0" showAll="0" sortType="ascending">
      <items count="11">
        <item x="8"/>
        <item x="0"/>
        <item x="3"/>
        <item x="2"/>
        <item x="5"/>
        <item x="6"/>
        <item x="4"/>
        <item x="7"/>
        <item x="9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g Lead Time (days)" fld="8" subtotal="average" baseField="0" baseItem="0"/>
  </dataFields>
  <chartFormats count="9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AD55B-80B2-4726-8B16-999D147A1D99}" name="PivotTable8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3">
  <location ref="A40:D52" firstHeaderRow="1" firstDataRow="2" firstDataCol="1"/>
  <pivotFields count="11">
    <pivotField axis="axisRow" compact="0" outline="0" showAll="0" sortType="ascending">
      <items count="11">
        <item x="8"/>
        <item x="0"/>
        <item x="3"/>
        <item x="2"/>
        <item x="5"/>
        <item x="6"/>
        <item x="4"/>
        <item x="7"/>
        <item x="9"/>
        <item x="1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multipleItemSelectionAllowe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Request ID" fld="3" subtotal="count" showDataAs="percentOfRow" baseField="0" baseItem="0" numFmtId="10"/>
  </dataFields>
  <chartFormats count="4"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350F9-8007-4A86-8C70-4393A6B60FF4}" name="PivotTable7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0">
  <location ref="A17:B21" firstHeaderRow="1" firstDataRow="1" firstDataCol="1"/>
  <pivotFields count="11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g Lead Time (days)" fld="8" subtotal="average" baseField="0" baseItem="0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53CDE-49F1-4968-A968-7978069AD70D}" name="PivotTable6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25:E37" firstHeaderRow="1" firstDataRow="2" firstDataCol="1"/>
  <pivotFields count="11">
    <pivotField axis="axisRow" compact="0" outline="0" showAll="0" sortType="descending">
      <items count="11">
        <item x="1"/>
        <item x="9"/>
        <item x="7"/>
        <item x="4"/>
        <item x="6"/>
        <item x="5"/>
        <item x="2"/>
        <item x="3"/>
        <item x="0"/>
        <item x="8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Count Request ID" fld="3" subtotal="count" baseField="0" baseItem="0"/>
  </dataFields>
  <formats count="1">
    <format dxfId="13">
      <pivotArea type="origin" dataOnly="0" labelOnly="1" outline="0" fieldPosition="0"/>
    </format>
  </formats>
  <chartFormats count="42"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64E3B-B438-421A-B28C-7C399C542EE3}" name="PivotTable5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K3:L9" firstHeaderRow="1" firstDataRow="1" firstDataCol="1"/>
  <pivotFields count="11">
    <pivotField axis="axisRow" compact="0" outline="0" showAll="0" measureFilter="1" sortType="descending">
      <items count="11">
        <item x="1"/>
        <item x="9"/>
        <item x="7"/>
        <item x="4"/>
        <item x="6"/>
        <item x="5"/>
        <item x="2"/>
        <item x="3"/>
        <item x="0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2"/>
    </i>
    <i>
      <x v="1"/>
    </i>
    <i>
      <x v="5"/>
    </i>
    <i>
      <x v="3"/>
    </i>
    <i t="grand">
      <x/>
    </i>
  </rowItems>
  <colItems count="1">
    <i/>
  </colItems>
  <dataFields count="1">
    <dataField name="Count of Request ID" fld="3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9CAEC1-B4E7-477C-89D3-B84289D84AE0}" name="PivotTable1" cacheId="52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8">
  <location ref="D3:E14" firstHeaderRow="1" firstDataRow="1" firstDataCol="1"/>
  <pivotFields count="11">
    <pivotField axis="axisRow" compact="0" outline="0" showAll="0" sortType="ascending">
      <items count="11">
        <item x="8"/>
        <item x="0"/>
        <item x="3"/>
        <item x="2"/>
        <item x="5"/>
        <item x="6"/>
        <item x="4"/>
        <item x="7"/>
        <item x="9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g Contract Value" fld="10" subtotal="average" baseField="0" baseItem="0"/>
  </dataFields>
  <chartFormats count="11"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465CA0-8455-4769-A0EB-C63B90820843}" name="Table1" displayName="Table1" ref="A1:K121" totalsRowShown="0" headerRowDxfId="6" headerRowBorderDxfId="4" tableBorderDxfId="5">
  <autoFilter ref="A1:K121" xr:uid="{32465CA0-8455-4769-A0EB-C63B90820843}"/>
  <tableColumns count="11">
    <tableColumn id="1" xr3:uid="{75D7C882-E30A-4A7C-B1A5-5141668E80B4}" name="Supplier"/>
    <tableColumn id="2" xr3:uid="{346AF7EA-4D4D-4785-BF6B-2A0B653381B3}" name="Region"/>
    <tableColumn id="3" xr3:uid="{F7A20C9B-7FAA-428E-B75C-66B97D21AB43}" name="Date Submitted"/>
    <tableColumn id="4" xr3:uid="{860A0442-98B3-401A-9C7A-7EA5C723D986}" name="Request ID"/>
    <tableColumn id="5" xr3:uid="{80368A8F-89FF-40D2-916F-C755ED9C4FD5}" name="Project ID"/>
    <tableColumn id="6" xr3:uid="{9F0CA279-8D9C-4C84-935A-8BF27857FA4C}" name="Requester"/>
    <tableColumn id="7" xr3:uid="{14978CA7-2A56-44A2-9123-AA96AF5000A2}" name="Approval Status"/>
    <tableColumn id="8" xr3:uid="{2FF9558B-3F34-4C26-A32C-875960D52702}" name="Risk Rating"/>
    <tableColumn id="9" xr3:uid="{5441C1A9-05D6-44DF-8213-943750B2BFF4}" name="Lead Time (days)"/>
    <tableColumn id="10" xr3:uid="{A86B7E28-93E3-4C60-A69D-56D05B16922C}" name="Missing Documents"/>
    <tableColumn id="11" xr3:uid="{82007DF2-BE76-4B8B-AF46-B4D2535044F1}" name="Contract 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F1D83E-6CC1-43CC-B5F6-46DDF440AFF7}" name="Table5" displayName="Table5" ref="B2:D12" totalsRowShown="0" headerRowDxfId="3" headerRowBorderDxfId="2">
  <autoFilter ref="B2:D12" xr:uid="{D5F1D83E-6CC1-43CC-B5F6-46DDF440AFF7}"/>
  <sortState xmlns:xlrd2="http://schemas.microsoft.com/office/spreadsheetml/2017/richdata2" ref="B3:D12">
    <sortCondition ref="B2:B12"/>
  </sortState>
  <tableColumns count="3">
    <tableColumn id="1" xr3:uid="{1EA7EFF1-2BE1-47E1-8CF3-63F407461397}" name="Supplier"/>
    <tableColumn id="2" xr3:uid="{D73A7864-9D5F-4EEE-8BF1-8DF32932398E}" name="No" dataDxfId="1"/>
    <tableColumn id="3" xr3:uid="{B790458D-1C33-4F9A-9F7A-DBF82EB92B70}" name="Y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workbookViewId="0">
      <selection activeCell="A18" sqref="A18"/>
    </sheetView>
  </sheetViews>
  <sheetFormatPr defaultRowHeight="15"/>
  <cols>
    <col min="1" max="1" width="17.140625" bestFit="1" customWidth="1"/>
    <col min="2" max="2" width="9.28515625" bestFit="1" customWidth="1"/>
    <col min="3" max="3" width="17.140625" bestFit="1" customWidth="1"/>
    <col min="4" max="4" width="12.85546875" bestFit="1" customWidth="1"/>
    <col min="5" max="5" width="11.85546875" bestFit="1" customWidth="1"/>
    <col min="6" max="6" width="12.28515625" bestFit="1" customWidth="1"/>
    <col min="7" max="7" width="17.28515625" bestFit="1" customWidth="1"/>
    <col min="8" max="8" width="13" bestFit="1" customWidth="1"/>
    <col min="9" max="9" width="18.140625" bestFit="1" customWidth="1"/>
    <col min="10" max="10" width="20.5703125" bestFit="1" customWidth="1"/>
    <col min="11" max="11" width="16.28515625" bestFit="1" customWidth="1"/>
    <col min="14" max="14" width="29.42578125" bestFit="1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14</v>
      </c>
      <c r="J2" t="s">
        <v>19</v>
      </c>
      <c r="K2">
        <v>22926.04</v>
      </c>
    </row>
    <row r="3" spans="1:11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17</v>
      </c>
      <c r="H3" t="s">
        <v>18</v>
      </c>
      <c r="I3">
        <v>15</v>
      </c>
      <c r="J3" t="s">
        <v>26</v>
      </c>
      <c r="K3">
        <v>47845.45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25</v>
      </c>
      <c r="G4" t="s">
        <v>17</v>
      </c>
      <c r="H4" t="s">
        <v>18</v>
      </c>
      <c r="I4">
        <v>10</v>
      </c>
      <c r="J4" t="s">
        <v>26</v>
      </c>
      <c r="K4">
        <v>21487.95</v>
      </c>
    </row>
    <row r="5" spans="1:11">
      <c r="A5" t="s">
        <v>32</v>
      </c>
      <c r="B5" t="s">
        <v>21</v>
      </c>
      <c r="C5" t="s">
        <v>33</v>
      </c>
      <c r="D5" t="s">
        <v>34</v>
      </c>
      <c r="E5" t="s">
        <v>35</v>
      </c>
      <c r="F5" t="s">
        <v>25</v>
      </c>
      <c r="G5" t="s">
        <v>17</v>
      </c>
      <c r="H5" t="s">
        <v>18</v>
      </c>
      <c r="I5">
        <v>21</v>
      </c>
      <c r="J5" t="s">
        <v>26</v>
      </c>
      <c r="K5">
        <v>36511.519999999997</v>
      </c>
    </row>
    <row r="6" spans="1:11">
      <c r="A6" t="s">
        <v>36</v>
      </c>
      <c r="B6" t="s">
        <v>12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>
        <v>9</v>
      </c>
      <c r="J6" t="s">
        <v>26</v>
      </c>
      <c r="K6">
        <v>33138.400000000001</v>
      </c>
    </row>
    <row r="7" spans="1:11">
      <c r="A7" t="s">
        <v>11</v>
      </c>
      <c r="B7" t="s">
        <v>21</v>
      </c>
      <c r="C7" t="s">
        <v>43</v>
      </c>
      <c r="D7" t="s">
        <v>44</v>
      </c>
      <c r="E7" t="s">
        <v>45</v>
      </c>
      <c r="F7" t="s">
        <v>46</v>
      </c>
      <c r="G7" t="s">
        <v>41</v>
      </c>
      <c r="H7" t="s">
        <v>42</v>
      </c>
      <c r="I7">
        <v>9</v>
      </c>
      <c r="J7" t="s">
        <v>26</v>
      </c>
      <c r="K7">
        <v>18014.05</v>
      </c>
    </row>
    <row r="8" spans="1:11">
      <c r="A8" t="s">
        <v>27</v>
      </c>
      <c r="B8" t="s">
        <v>12</v>
      </c>
      <c r="C8" t="s">
        <v>47</v>
      </c>
      <c r="D8" t="s">
        <v>48</v>
      </c>
      <c r="E8" t="s">
        <v>49</v>
      </c>
      <c r="F8" t="s">
        <v>50</v>
      </c>
      <c r="G8" t="s">
        <v>41</v>
      </c>
      <c r="H8" t="s">
        <v>42</v>
      </c>
      <c r="I8">
        <v>13</v>
      </c>
      <c r="J8" t="s">
        <v>26</v>
      </c>
      <c r="K8">
        <v>3699.2</v>
      </c>
    </row>
    <row r="9" spans="1:11">
      <c r="A9" t="s">
        <v>36</v>
      </c>
      <c r="B9" t="s">
        <v>51</v>
      </c>
      <c r="C9" t="s">
        <v>52</v>
      </c>
      <c r="D9" t="s">
        <v>53</v>
      </c>
      <c r="E9" t="s">
        <v>54</v>
      </c>
      <c r="F9" t="s">
        <v>50</v>
      </c>
      <c r="G9" t="s">
        <v>41</v>
      </c>
      <c r="H9" t="s">
        <v>18</v>
      </c>
      <c r="I9">
        <v>2</v>
      </c>
      <c r="J9" t="s">
        <v>26</v>
      </c>
      <c r="K9">
        <v>16565.689999999999</v>
      </c>
    </row>
    <row r="10" spans="1:11">
      <c r="A10" t="s">
        <v>55</v>
      </c>
      <c r="B10" t="s">
        <v>12</v>
      </c>
      <c r="C10" t="s">
        <v>56</v>
      </c>
      <c r="D10" t="s">
        <v>57</v>
      </c>
      <c r="E10" t="s">
        <v>58</v>
      </c>
      <c r="F10" t="s">
        <v>40</v>
      </c>
      <c r="G10" t="s">
        <v>41</v>
      </c>
      <c r="H10" t="s">
        <v>18</v>
      </c>
      <c r="I10">
        <v>5</v>
      </c>
      <c r="J10" t="s">
        <v>26</v>
      </c>
      <c r="K10">
        <v>29713.71</v>
      </c>
    </row>
    <row r="11" spans="1:11">
      <c r="A11" t="s">
        <v>55</v>
      </c>
      <c r="B11" t="s">
        <v>28</v>
      </c>
      <c r="C11" t="s">
        <v>59</v>
      </c>
      <c r="D11" t="s">
        <v>60</v>
      </c>
      <c r="E11" t="s">
        <v>61</v>
      </c>
      <c r="F11" t="s">
        <v>50</v>
      </c>
      <c r="G11" t="s">
        <v>41</v>
      </c>
      <c r="H11" t="s">
        <v>42</v>
      </c>
      <c r="I11">
        <v>6</v>
      </c>
      <c r="J11" t="s">
        <v>26</v>
      </c>
      <c r="K11">
        <v>3815.44</v>
      </c>
    </row>
    <row r="12" spans="1:11">
      <c r="A12" t="s">
        <v>62</v>
      </c>
      <c r="B12" t="s">
        <v>21</v>
      </c>
      <c r="C12" t="s">
        <v>63</v>
      </c>
      <c r="D12" t="s">
        <v>64</v>
      </c>
      <c r="E12" t="s">
        <v>65</v>
      </c>
      <c r="F12" t="s">
        <v>46</v>
      </c>
      <c r="G12" t="s">
        <v>17</v>
      </c>
      <c r="H12" t="s">
        <v>66</v>
      </c>
      <c r="I12">
        <v>20</v>
      </c>
      <c r="J12" t="s">
        <v>26</v>
      </c>
      <c r="K12">
        <v>21613.360000000001</v>
      </c>
    </row>
    <row r="13" spans="1:11">
      <c r="A13" t="s">
        <v>67</v>
      </c>
      <c r="B13" t="s">
        <v>21</v>
      </c>
      <c r="C13" t="s">
        <v>68</v>
      </c>
      <c r="D13" t="s">
        <v>69</v>
      </c>
      <c r="E13" t="s">
        <v>39</v>
      </c>
      <c r="F13" t="s">
        <v>16</v>
      </c>
      <c r="G13" t="s">
        <v>41</v>
      </c>
      <c r="H13" t="s">
        <v>18</v>
      </c>
      <c r="I13">
        <v>12</v>
      </c>
      <c r="J13" t="s">
        <v>26</v>
      </c>
      <c r="K13">
        <v>3628.78</v>
      </c>
    </row>
    <row r="14" spans="1:11">
      <c r="A14" t="s">
        <v>55</v>
      </c>
      <c r="B14" t="s">
        <v>28</v>
      </c>
      <c r="C14" t="s">
        <v>70</v>
      </c>
      <c r="D14" t="s">
        <v>71</v>
      </c>
      <c r="E14" t="s">
        <v>72</v>
      </c>
      <c r="F14" t="s">
        <v>50</v>
      </c>
      <c r="G14" t="s">
        <v>41</v>
      </c>
      <c r="H14" t="s">
        <v>18</v>
      </c>
      <c r="I14">
        <v>8</v>
      </c>
      <c r="J14" t="s">
        <v>26</v>
      </c>
      <c r="K14">
        <v>26663.84</v>
      </c>
    </row>
    <row r="15" spans="1:11">
      <c r="A15" t="s">
        <v>67</v>
      </c>
      <c r="B15" t="s">
        <v>12</v>
      </c>
      <c r="C15" t="s">
        <v>73</v>
      </c>
      <c r="D15" t="s">
        <v>74</v>
      </c>
      <c r="E15" t="s">
        <v>75</v>
      </c>
      <c r="F15" t="s">
        <v>40</v>
      </c>
      <c r="G15" t="s">
        <v>41</v>
      </c>
      <c r="H15" t="s">
        <v>18</v>
      </c>
      <c r="I15">
        <v>5</v>
      </c>
      <c r="J15" t="s">
        <v>19</v>
      </c>
      <c r="K15">
        <v>30635.47</v>
      </c>
    </row>
    <row r="16" spans="1:11">
      <c r="A16" t="s">
        <v>11</v>
      </c>
      <c r="B16" t="s">
        <v>21</v>
      </c>
      <c r="C16" t="s">
        <v>76</v>
      </c>
      <c r="D16" t="s">
        <v>77</v>
      </c>
      <c r="E16" t="s">
        <v>78</v>
      </c>
      <c r="F16" t="s">
        <v>16</v>
      </c>
      <c r="G16" t="s">
        <v>41</v>
      </c>
      <c r="H16" t="s">
        <v>18</v>
      </c>
      <c r="I16">
        <v>8</v>
      </c>
      <c r="J16" t="s">
        <v>26</v>
      </c>
      <c r="K16">
        <v>20624.59</v>
      </c>
    </row>
    <row r="17" spans="1:11">
      <c r="A17" t="s">
        <v>11</v>
      </c>
      <c r="B17" t="s">
        <v>28</v>
      </c>
      <c r="C17" t="s">
        <v>79</v>
      </c>
      <c r="D17" t="s">
        <v>80</v>
      </c>
      <c r="E17" t="s">
        <v>81</v>
      </c>
      <c r="F17" t="s">
        <v>50</v>
      </c>
      <c r="G17" t="s">
        <v>41</v>
      </c>
      <c r="H17" t="s">
        <v>18</v>
      </c>
      <c r="I17">
        <v>8</v>
      </c>
      <c r="J17" t="s">
        <v>26</v>
      </c>
      <c r="K17">
        <v>52784.17</v>
      </c>
    </row>
    <row r="18" spans="1:11">
      <c r="A18" t="s">
        <v>82</v>
      </c>
      <c r="B18" t="s">
        <v>51</v>
      </c>
      <c r="C18" t="s">
        <v>83</v>
      </c>
      <c r="D18" t="s">
        <v>84</v>
      </c>
      <c r="E18" t="s">
        <v>85</v>
      </c>
      <c r="F18" t="s">
        <v>46</v>
      </c>
      <c r="G18" t="s">
        <v>41</v>
      </c>
      <c r="H18" t="s">
        <v>18</v>
      </c>
      <c r="I18">
        <v>11</v>
      </c>
      <c r="J18" t="s">
        <v>19</v>
      </c>
      <c r="K18">
        <v>9134.34</v>
      </c>
    </row>
    <row r="19" spans="1:11">
      <c r="A19" t="s">
        <v>86</v>
      </c>
      <c r="B19" t="s">
        <v>28</v>
      </c>
      <c r="C19" t="s">
        <v>87</v>
      </c>
      <c r="D19" t="s">
        <v>88</v>
      </c>
      <c r="E19" t="s">
        <v>89</v>
      </c>
      <c r="F19" t="s">
        <v>16</v>
      </c>
      <c r="G19" t="s">
        <v>17</v>
      </c>
      <c r="H19" t="s">
        <v>42</v>
      </c>
      <c r="I19">
        <v>16</v>
      </c>
      <c r="J19" t="s">
        <v>26</v>
      </c>
      <c r="K19">
        <v>6687.35</v>
      </c>
    </row>
    <row r="20" spans="1:11">
      <c r="A20" t="s">
        <v>20</v>
      </c>
      <c r="B20" t="s">
        <v>51</v>
      </c>
      <c r="C20" t="s">
        <v>90</v>
      </c>
      <c r="D20" t="s">
        <v>91</v>
      </c>
      <c r="E20" t="s">
        <v>92</v>
      </c>
      <c r="F20" t="s">
        <v>46</v>
      </c>
      <c r="G20" t="s">
        <v>17</v>
      </c>
      <c r="H20" t="s">
        <v>66</v>
      </c>
      <c r="I20">
        <v>13</v>
      </c>
      <c r="J20" t="s">
        <v>26</v>
      </c>
      <c r="K20">
        <v>4395.05</v>
      </c>
    </row>
    <row r="21" spans="1:11">
      <c r="A21" t="s">
        <v>82</v>
      </c>
      <c r="B21" t="s">
        <v>93</v>
      </c>
      <c r="C21" t="s">
        <v>94</v>
      </c>
      <c r="D21" t="s">
        <v>95</v>
      </c>
      <c r="E21" t="s">
        <v>31</v>
      </c>
      <c r="F21" t="s">
        <v>25</v>
      </c>
      <c r="G21" t="s">
        <v>96</v>
      </c>
      <c r="H21" t="s">
        <v>18</v>
      </c>
      <c r="I21">
        <v>4</v>
      </c>
      <c r="J21" t="s">
        <v>26</v>
      </c>
      <c r="K21">
        <v>27952.92</v>
      </c>
    </row>
    <row r="22" spans="1:11">
      <c r="A22" t="s">
        <v>86</v>
      </c>
      <c r="B22" t="s">
        <v>93</v>
      </c>
      <c r="C22" t="s">
        <v>97</v>
      </c>
      <c r="D22" t="s">
        <v>98</v>
      </c>
      <c r="E22" t="s">
        <v>99</v>
      </c>
      <c r="F22" t="s">
        <v>16</v>
      </c>
      <c r="G22" t="s">
        <v>41</v>
      </c>
      <c r="H22" t="s">
        <v>66</v>
      </c>
      <c r="I22">
        <v>16</v>
      </c>
      <c r="J22" t="s">
        <v>19</v>
      </c>
      <c r="K22">
        <v>27570.52</v>
      </c>
    </row>
    <row r="23" spans="1:11">
      <c r="A23" t="s">
        <v>36</v>
      </c>
      <c r="B23" t="s">
        <v>93</v>
      </c>
      <c r="C23" t="s">
        <v>100</v>
      </c>
      <c r="D23" t="s">
        <v>101</v>
      </c>
      <c r="E23" t="s">
        <v>54</v>
      </c>
      <c r="F23" t="s">
        <v>40</v>
      </c>
      <c r="G23" t="s">
        <v>41</v>
      </c>
      <c r="H23" t="s">
        <v>42</v>
      </c>
      <c r="I23">
        <v>11</v>
      </c>
      <c r="J23" t="s">
        <v>26</v>
      </c>
      <c r="K23">
        <v>20483.439999999999</v>
      </c>
    </row>
    <row r="24" spans="1:11">
      <c r="A24" t="s">
        <v>62</v>
      </c>
      <c r="B24" t="s">
        <v>21</v>
      </c>
      <c r="C24" t="s">
        <v>102</v>
      </c>
      <c r="D24" t="s">
        <v>103</v>
      </c>
      <c r="E24" t="s">
        <v>104</v>
      </c>
      <c r="F24" t="s">
        <v>25</v>
      </c>
      <c r="G24" t="s">
        <v>41</v>
      </c>
      <c r="H24" t="s">
        <v>18</v>
      </c>
      <c r="I24">
        <v>3</v>
      </c>
      <c r="J24" t="s">
        <v>19</v>
      </c>
      <c r="K24">
        <v>14202.34</v>
      </c>
    </row>
    <row r="25" spans="1:11">
      <c r="A25" t="s">
        <v>86</v>
      </c>
      <c r="B25" t="s">
        <v>93</v>
      </c>
      <c r="C25" t="s">
        <v>105</v>
      </c>
      <c r="D25" t="s">
        <v>106</v>
      </c>
      <c r="E25" t="s">
        <v>107</v>
      </c>
      <c r="F25" t="s">
        <v>50</v>
      </c>
      <c r="G25" t="s">
        <v>17</v>
      </c>
      <c r="H25" t="s">
        <v>18</v>
      </c>
      <c r="I25">
        <v>9</v>
      </c>
      <c r="J25" t="s">
        <v>26</v>
      </c>
      <c r="K25">
        <v>40856.83</v>
      </c>
    </row>
    <row r="26" spans="1:11">
      <c r="A26" t="s">
        <v>82</v>
      </c>
      <c r="B26" t="s">
        <v>51</v>
      </c>
      <c r="C26" t="s">
        <v>108</v>
      </c>
      <c r="D26" t="s">
        <v>109</v>
      </c>
      <c r="E26" t="s">
        <v>110</v>
      </c>
      <c r="F26" t="s">
        <v>16</v>
      </c>
      <c r="G26" t="s">
        <v>41</v>
      </c>
      <c r="H26" t="s">
        <v>18</v>
      </c>
      <c r="I26">
        <v>14</v>
      </c>
      <c r="J26" t="s">
        <v>26</v>
      </c>
      <c r="K26">
        <v>1445.6</v>
      </c>
    </row>
    <row r="27" spans="1:11">
      <c r="A27" t="s">
        <v>20</v>
      </c>
      <c r="B27" t="s">
        <v>28</v>
      </c>
      <c r="C27" t="s">
        <v>111</v>
      </c>
      <c r="D27" t="s">
        <v>112</v>
      </c>
      <c r="E27" t="s">
        <v>113</v>
      </c>
      <c r="F27" t="s">
        <v>25</v>
      </c>
      <c r="G27" t="s">
        <v>17</v>
      </c>
      <c r="H27" t="s">
        <v>18</v>
      </c>
      <c r="I27">
        <v>13</v>
      </c>
      <c r="J27" t="s">
        <v>26</v>
      </c>
      <c r="K27">
        <v>19223.77</v>
      </c>
    </row>
    <row r="28" spans="1:11">
      <c r="A28" t="s">
        <v>36</v>
      </c>
      <c r="B28" t="s">
        <v>51</v>
      </c>
      <c r="C28" t="s">
        <v>114</v>
      </c>
      <c r="D28" t="s">
        <v>115</v>
      </c>
      <c r="E28" t="s">
        <v>116</v>
      </c>
      <c r="F28" t="s">
        <v>25</v>
      </c>
      <c r="G28" t="s">
        <v>41</v>
      </c>
      <c r="H28" t="s">
        <v>42</v>
      </c>
      <c r="I28">
        <v>7</v>
      </c>
      <c r="J28" t="s">
        <v>19</v>
      </c>
      <c r="K28">
        <v>34175.14</v>
      </c>
    </row>
    <row r="29" spans="1:11">
      <c r="A29" t="s">
        <v>36</v>
      </c>
      <c r="B29" t="s">
        <v>51</v>
      </c>
      <c r="C29" t="s">
        <v>117</v>
      </c>
      <c r="D29" t="s">
        <v>118</v>
      </c>
      <c r="E29" t="s">
        <v>119</v>
      </c>
      <c r="F29" t="s">
        <v>40</v>
      </c>
      <c r="G29" t="s">
        <v>17</v>
      </c>
      <c r="H29" t="s">
        <v>18</v>
      </c>
      <c r="I29">
        <v>18</v>
      </c>
      <c r="J29" t="s">
        <v>26</v>
      </c>
      <c r="K29">
        <v>38969.199999999997</v>
      </c>
    </row>
    <row r="30" spans="1:11">
      <c r="A30" t="s">
        <v>55</v>
      </c>
      <c r="B30" t="s">
        <v>21</v>
      </c>
      <c r="C30" t="s">
        <v>120</v>
      </c>
      <c r="D30" t="s">
        <v>121</v>
      </c>
      <c r="E30" t="s">
        <v>49</v>
      </c>
      <c r="F30" t="s">
        <v>16</v>
      </c>
      <c r="G30" t="s">
        <v>41</v>
      </c>
      <c r="H30" t="s">
        <v>18</v>
      </c>
      <c r="I30">
        <v>6</v>
      </c>
      <c r="J30" t="s">
        <v>26</v>
      </c>
      <c r="K30">
        <v>20361.810000000001</v>
      </c>
    </row>
    <row r="31" spans="1:11">
      <c r="A31" t="s">
        <v>82</v>
      </c>
      <c r="B31" t="s">
        <v>28</v>
      </c>
      <c r="C31" t="s">
        <v>122</v>
      </c>
      <c r="D31" t="s">
        <v>123</v>
      </c>
      <c r="E31" t="s">
        <v>124</v>
      </c>
      <c r="F31" t="s">
        <v>50</v>
      </c>
      <c r="G31" t="s">
        <v>96</v>
      </c>
      <c r="H31" t="s">
        <v>66</v>
      </c>
      <c r="I31">
        <v>13</v>
      </c>
      <c r="J31" t="s">
        <v>26</v>
      </c>
      <c r="K31">
        <v>39633.18</v>
      </c>
    </row>
    <row r="32" spans="1:11">
      <c r="A32" t="s">
        <v>67</v>
      </c>
      <c r="B32" t="s">
        <v>21</v>
      </c>
      <c r="C32" t="s">
        <v>125</v>
      </c>
      <c r="D32" t="s">
        <v>126</v>
      </c>
      <c r="E32" t="s">
        <v>127</v>
      </c>
      <c r="F32" t="s">
        <v>25</v>
      </c>
      <c r="G32" t="s">
        <v>41</v>
      </c>
      <c r="H32" t="s">
        <v>66</v>
      </c>
      <c r="I32">
        <v>9</v>
      </c>
      <c r="J32" t="s">
        <v>19</v>
      </c>
      <c r="K32">
        <v>22215.119999999999</v>
      </c>
    </row>
    <row r="33" spans="1:11">
      <c r="A33" t="s">
        <v>55</v>
      </c>
      <c r="B33" t="s">
        <v>21</v>
      </c>
      <c r="C33" t="s">
        <v>128</v>
      </c>
      <c r="D33" t="s">
        <v>129</v>
      </c>
      <c r="E33" t="s">
        <v>130</v>
      </c>
      <c r="F33" t="s">
        <v>16</v>
      </c>
      <c r="G33" t="s">
        <v>41</v>
      </c>
      <c r="H33" t="s">
        <v>66</v>
      </c>
      <c r="I33">
        <v>5</v>
      </c>
      <c r="J33" t="s">
        <v>26</v>
      </c>
      <c r="K33">
        <v>7056.9</v>
      </c>
    </row>
    <row r="34" spans="1:11">
      <c r="A34" t="s">
        <v>67</v>
      </c>
      <c r="B34" t="s">
        <v>93</v>
      </c>
      <c r="C34" t="s">
        <v>131</v>
      </c>
      <c r="D34" t="s">
        <v>132</v>
      </c>
      <c r="E34" t="s">
        <v>116</v>
      </c>
      <c r="F34" t="s">
        <v>16</v>
      </c>
      <c r="G34" t="s">
        <v>17</v>
      </c>
      <c r="H34" t="s">
        <v>66</v>
      </c>
      <c r="I34">
        <v>16</v>
      </c>
      <c r="J34" t="s">
        <v>26</v>
      </c>
      <c r="K34">
        <v>45343.6</v>
      </c>
    </row>
    <row r="35" spans="1:11">
      <c r="A35" t="s">
        <v>62</v>
      </c>
      <c r="B35" t="s">
        <v>12</v>
      </c>
      <c r="C35" t="s">
        <v>133</v>
      </c>
      <c r="D35" t="s">
        <v>134</v>
      </c>
      <c r="E35" t="s">
        <v>135</v>
      </c>
      <c r="F35" t="s">
        <v>50</v>
      </c>
      <c r="G35" t="s">
        <v>41</v>
      </c>
      <c r="H35" t="s">
        <v>18</v>
      </c>
      <c r="I35">
        <v>11</v>
      </c>
      <c r="J35" t="s">
        <v>26</v>
      </c>
      <c r="K35">
        <v>40052.99</v>
      </c>
    </row>
    <row r="36" spans="1:11">
      <c r="A36" t="s">
        <v>86</v>
      </c>
      <c r="B36" t="s">
        <v>12</v>
      </c>
      <c r="C36" t="s">
        <v>136</v>
      </c>
      <c r="D36" t="s">
        <v>137</v>
      </c>
      <c r="E36" t="s">
        <v>138</v>
      </c>
      <c r="F36" t="s">
        <v>40</v>
      </c>
      <c r="G36" t="s">
        <v>17</v>
      </c>
      <c r="H36" t="s">
        <v>18</v>
      </c>
      <c r="I36">
        <v>14</v>
      </c>
      <c r="J36" t="s">
        <v>26</v>
      </c>
      <c r="K36">
        <v>15323.2</v>
      </c>
    </row>
    <row r="37" spans="1:11">
      <c r="A37" t="s">
        <v>20</v>
      </c>
      <c r="B37" t="s">
        <v>93</v>
      </c>
      <c r="C37" t="s">
        <v>139</v>
      </c>
      <c r="D37" t="s">
        <v>140</v>
      </c>
      <c r="E37" t="s">
        <v>141</v>
      </c>
      <c r="F37" t="s">
        <v>16</v>
      </c>
      <c r="G37" t="s">
        <v>41</v>
      </c>
      <c r="H37" t="s">
        <v>42</v>
      </c>
      <c r="I37">
        <v>14</v>
      </c>
      <c r="J37" t="s">
        <v>26</v>
      </c>
      <c r="K37">
        <v>48070.55</v>
      </c>
    </row>
    <row r="38" spans="1:11">
      <c r="A38" t="s">
        <v>86</v>
      </c>
      <c r="B38" t="s">
        <v>51</v>
      </c>
      <c r="C38" t="s">
        <v>142</v>
      </c>
      <c r="D38" t="s">
        <v>143</v>
      </c>
      <c r="E38" t="s">
        <v>110</v>
      </c>
      <c r="F38" t="s">
        <v>40</v>
      </c>
      <c r="G38" t="s">
        <v>17</v>
      </c>
      <c r="H38" t="s">
        <v>42</v>
      </c>
      <c r="I38">
        <v>11</v>
      </c>
      <c r="J38" t="s">
        <v>26</v>
      </c>
      <c r="K38">
        <v>48469.65</v>
      </c>
    </row>
    <row r="39" spans="1:11">
      <c r="A39" t="s">
        <v>55</v>
      </c>
      <c r="B39" t="s">
        <v>21</v>
      </c>
      <c r="C39" t="s">
        <v>144</v>
      </c>
      <c r="D39" t="s">
        <v>145</v>
      </c>
      <c r="E39" t="s">
        <v>141</v>
      </c>
      <c r="F39" t="s">
        <v>16</v>
      </c>
      <c r="G39" t="s">
        <v>96</v>
      </c>
      <c r="H39" t="s">
        <v>66</v>
      </c>
      <c r="I39">
        <v>2</v>
      </c>
      <c r="J39" t="s">
        <v>19</v>
      </c>
      <c r="K39">
        <v>37328.54</v>
      </c>
    </row>
    <row r="40" spans="1:11">
      <c r="A40" t="s">
        <v>11</v>
      </c>
      <c r="B40" t="s">
        <v>12</v>
      </c>
      <c r="C40" t="s">
        <v>146</v>
      </c>
      <c r="D40" t="s">
        <v>147</v>
      </c>
      <c r="E40" t="s">
        <v>148</v>
      </c>
      <c r="F40" t="s">
        <v>25</v>
      </c>
      <c r="G40" t="s">
        <v>17</v>
      </c>
      <c r="H40" t="s">
        <v>18</v>
      </c>
      <c r="I40">
        <v>12</v>
      </c>
      <c r="J40" t="s">
        <v>26</v>
      </c>
      <c r="K40">
        <v>20514.89</v>
      </c>
    </row>
    <row r="41" spans="1:11">
      <c r="A41" t="s">
        <v>62</v>
      </c>
      <c r="B41" t="s">
        <v>51</v>
      </c>
      <c r="C41" t="s">
        <v>149</v>
      </c>
      <c r="D41" t="s">
        <v>150</v>
      </c>
      <c r="E41" t="s">
        <v>78</v>
      </c>
      <c r="F41" t="s">
        <v>16</v>
      </c>
      <c r="G41" t="s">
        <v>41</v>
      </c>
      <c r="H41" t="s">
        <v>18</v>
      </c>
      <c r="I41">
        <v>12</v>
      </c>
      <c r="J41" t="s">
        <v>26</v>
      </c>
      <c r="K41">
        <v>4813.53</v>
      </c>
    </row>
    <row r="42" spans="1:11">
      <c r="A42" t="s">
        <v>86</v>
      </c>
      <c r="B42" t="s">
        <v>51</v>
      </c>
      <c r="C42" t="s">
        <v>151</v>
      </c>
      <c r="D42" t="s">
        <v>152</v>
      </c>
      <c r="E42" t="s">
        <v>153</v>
      </c>
      <c r="F42" t="s">
        <v>25</v>
      </c>
      <c r="G42" t="s">
        <v>96</v>
      </c>
      <c r="H42" t="s">
        <v>18</v>
      </c>
      <c r="I42">
        <v>10</v>
      </c>
      <c r="J42" t="s">
        <v>19</v>
      </c>
      <c r="K42">
        <v>30356.69</v>
      </c>
    </row>
    <row r="43" spans="1:11">
      <c r="A43" t="s">
        <v>86</v>
      </c>
      <c r="B43" t="s">
        <v>93</v>
      </c>
      <c r="C43" t="s">
        <v>154</v>
      </c>
      <c r="D43" t="s">
        <v>155</v>
      </c>
      <c r="E43" t="s">
        <v>156</v>
      </c>
      <c r="F43" t="s">
        <v>46</v>
      </c>
      <c r="G43" t="s">
        <v>17</v>
      </c>
      <c r="H43" t="s">
        <v>18</v>
      </c>
      <c r="I43">
        <v>20</v>
      </c>
      <c r="J43" t="s">
        <v>26</v>
      </c>
      <c r="K43">
        <v>17225.95</v>
      </c>
    </row>
    <row r="44" spans="1:11">
      <c r="A44" t="s">
        <v>67</v>
      </c>
      <c r="B44" t="s">
        <v>51</v>
      </c>
      <c r="C44" t="s">
        <v>157</v>
      </c>
      <c r="D44" t="s">
        <v>158</v>
      </c>
      <c r="E44" t="s">
        <v>159</v>
      </c>
      <c r="F44" t="s">
        <v>25</v>
      </c>
      <c r="G44" t="s">
        <v>17</v>
      </c>
      <c r="H44" t="s">
        <v>18</v>
      </c>
      <c r="I44">
        <v>7</v>
      </c>
      <c r="J44" t="s">
        <v>26</v>
      </c>
      <c r="K44">
        <v>17473.64</v>
      </c>
    </row>
    <row r="45" spans="1:11">
      <c r="A45" t="s">
        <v>32</v>
      </c>
      <c r="B45" t="s">
        <v>51</v>
      </c>
      <c r="C45" t="s">
        <v>160</v>
      </c>
      <c r="D45" t="s">
        <v>161</v>
      </c>
      <c r="E45" t="s">
        <v>162</v>
      </c>
      <c r="F45" t="s">
        <v>25</v>
      </c>
      <c r="G45" t="s">
        <v>41</v>
      </c>
      <c r="H45" t="s">
        <v>18</v>
      </c>
      <c r="I45">
        <v>17</v>
      </c>
      <c r="J45" t="s">
        <v>26</v>
      </c>
      <c r="K45">
        <v>29931.27</v>
      </c>
    </row>
    <row r="46" spans="1:11">
      <c r="A46" t="s">
        <v>11</v>
      </c>
      <c r="B46" t="s">
        <v>93</v>
      </c>
      <c r="C46" t="s">
        <v>163</v>
      </c>
      <c r="D46" t="s">
        <v>164</v>
      </c>
      <c r="E46" t="s">
        <v>165</v>
      </c>
      <c r="F46" t="s">
        <v>40</v>
      </c>
      <c r="G46" t="s">
        <v>17</v>
      </c>
      <c r="H46" t="s">
        <v>18</v>
      </c>
      <c r="I46">
        <v>8</v>
      </c>
      <c r="J46" t="s">
        <v>26</v>
      </c>
      <c r="K46">
        <v>32699.01</v>
      </c>
    </row>
    <row r="47" spans="1:11">
      <c r="A47" t="s">
        <v>82</v>
      </c>
      <c r="B47" t="s">
        <v>51</v>
      </c>
      <c r="C47" t="s">
        <v>166</v>
      </c>
      <c r="D47" t="s">
        <v>167</v>
      </c>
      <c r="E47" t="s">
        <v>168</v>
      </c>
      <c r="F47" t="s">
        <v>46</v>
      </c>
      <c r="G47" t="s">
        <v>41</v>
      </c>
      <c r="H47" t="s">
        <v>42</v>
      </c>
      <c r="I47">
        <v>12</v>
      </c>
      <c r="J47" t="s">
        <v>26</v>
      </c>
      <c r="K47">
        <v>39529.67</v>
      </c>
    </row>
    <row r="48" spans="1:11">
      <c r="A48" t="s">
        <v>27</v>
      </c>
      <c r="B48" t="s">
        <v>12</v>
      </c>
      <c r="C48" t="s">
        <v>169</v>
      </c>
      <c r="D48" t="s">
        <v>170</v>
      </c>
      <c r="E48" t="s">
        <v>171</v>
      </c>
      <c r="F48" t="s">
        <v>16</v>
      </c>
      <c r="G48" t="s">
        <v>41</v>
      </c>
      <c r="H48" t="s">
        <v>42</v>
      </c>
      <c r="I48">
        <v>7</v>
      </c>
      <c r="J48" t="s">
        <v>26</v>
      </c>
      <c r="K48">
        <v>20085.07</v>
      </c>
    </row>
    <row r="49" spans="1:11">
      <c r="A49" t="s">
        <v>32</v>
      </c>
      <c r="B49" t="s">
        <v>93</v>
      </c>
      <c r="C49" t="s">
        <v>172</v>
      </c>
      <c r="D49" t="s">
        <v>173</v>
      </c>
      <c r="E49" t="s">
        <v>174</v>
      </c>
      <c r="F49" t="s">
        <v>25</v>
      </c>
      <c r="G49" t="s">
        <v>96</v>
      </c>
      <c r="H49" t="s">
        <v>42</v>
      </c>
      <c r="I49">
        <v>9</v>
      </c>
      <c r="J49" t="s">
        <v>26</v>
      </c>
      <c r="K49">
        <v>3047.28</v>
      </c>
    </row>
    <row r="50" spans="1:11">
      <c r="A50" t="s">
        <v>62</v>
      </c>
      <c r="B50" t="s">
        <v>21</v>
      </c>
      <c r="C50" t="s">
        <v>120</v>
      </c>
      <c r="D50" t="s">
        <v>175</v>
      </c>
      <c r="E50" t="s">
        <v>176</v>
      </c>
      <c r="F50" t="s">
        <v>25</v>
      </c>
      <c r="G50" t="s">
        <v>17</v>
      </c>
      <c r="H50" t="s">
        <v>42</v>
      </c>
      <c r="I50">
        <v>13</v>
      </c>
      <c r="J50" t="s">
        <v>19</v>
      </c>
      <c r="K50">
        <v>28915.83</v>
      </c>
    </row>
    <row r="51" spans="1:11">
      <c r="A51" t="s">
        <v>27</v>
      </c>
      <c r="B51" t="s">
        <v>93</v>
      </c>
      <c r="C51" t="s">
        <v>177</v>
      </c>
      <c r="D51" t="s">
        <v>178</v>
      </c>
      <c r="E51" t="s">
        <v>179</v>
      </c>
      <c r="F51" t="s">
        <v>50</v>
      </c>
      <c r="G51" t="s">
        <v>17</v>
      </c>
      <c r="H51" t="s">
        <v>42</v>
      </c>
      <c r="I51">
        <v>12</v>
      </c>
      <c r="J51" t="s">
        <v>26</v>
      </c>
      <c r="K51">
        <v>21481.19</v>
      </c>
    </row>
    <row r="52" spans="1:11">
      <c r="A52" t="s">
        <v>27</v>
      </c>
      <c r="B52" t="s">
        <v>21</v>
      </c>
      <c r="C52" t="s">
        <v>180</v>
      </c>
      <c r="D52" t="s">
        <v>181</v>
      </c>
      <c r="E52" t="s">
        <v>182</v>
      </c>
      <c r="F52" t="s">
        <v>46</v>
      </c>
      <c r="G52" t="s">
        <v>17</v>
      </c>
      <c r="H52" t="s">
        <v>18</v>
      </c>
      <c r="I52">
        <v>3</v>
      </c>
      <c r="J52" t="s">
        <v>26</v>
      </c>
      <c r="K52">
        <v>18690.32</v>
      </c>
    </row>
    <row r="53" spans="1:11">
      <c r="A53" t="s">
        <v>86</v>
      </c>
      <c r="B53" t="s">
        <v>21</v>
      </c>
      <c r="C53" t="s">
        <v>183</v>
      </c>
      <c r="D53" t="s">
        <v>184</v>
      </c>
      <c r="E53" t="s">
        <v>174</v>
      </c>
      <c r="F53" t="s">
        <v>46</v>
      </c>
      <c r="G53" t="s">
        <v>17</v>
      </c>
      <c r="H53" t="s">
        <v>18</v>
      </c>
      <c r="I53">
        <v>9</v>
      </c>
      <c r="J53" t="s">
        <v>26</v>
      </c>
      <c r="K53">
        <v>12965.84</v>
      </c>
    </row>
    <row r="54" spans="1:11">
      <c r="A54" t="s">
        <v>20</v>
      </c>
      <c r="B54" t="s">
        <v>51</v>
      </c>
      <c r="C54" t="s">
        <v>185</v>
      </c>
      <c r="D54" t="s">
        <v>186</v>
      </c>
      <c r="E54" t="s">
        <v>187</v>
      </c>
      <c r="F54" t="s">
        <v>46</v>
      </c>
      <c r="G54" t="s">
        <v>17</v>
      </c>
      <c r="H54" t="s">
        <v>18</v>
      </c>
      <c r="I54">
        <v>11</v>
      </c>
      <c r="J54" t="s">
        <v>26</v>
      </c>
      <c r="K54">
        <v>31060.76</v>
      </c>
    </row>
    <row r="55" spans="1:11">
      <c r="A55" t="s">
        <v>20</v>
      </c>
      <c r="B55" t="s">
        <v>28</v>
      </c>
      <c r="C55" t="s">
        <v>188</v>
      </c>
      <c r="D55" t="s">
        <v>189</v>
      </c>
      <c r="E55" t="s">
        <v>89</v>
      </c>
      <c r="F55" t="s">
        <v>40</v>
      </c>
      <c r="G55" t="s">
        <v>41</v>
      </c>
      <c r="H55" t="s">
        <v>18</v>
      </c>
      <c r="I55">
        <v>23</v>
      </c>
      <c r="J55" t="s">
        <v>26</v>
      </c>
      <c r="K55">
        <v>27618.67</v>
      </c>
    </row>
    <row r="56" spans="1:11">
      <c r="A56" t="s">
        <v>86</v>
      </c>
      <c r="B56" t="s">
        <v>28</v>
      </c>
      <c r="C56" t="s">
        <v>190</v>
      </c>
      <c r="D56" t="s">
        <v>191</v>
      </c>
      <c r="E56" t="s">
        <v>192</v>
      </c>
      <c r="F56" t="s">
        <v>46</v>
      </c>
      <c r="G56" t="s">
        <v>41</v>
      </c>
      <c r="H56" t="s">
        <v>18</v>
      </c>
      <c r="I56">
        <v>13</v>
      </c>
      <c r="J56" t="s">
        <v>26</v>
      </c>
      <c r="K56">
        <v>23883.31</v>
      </c>
    </row>
    <row r="57" spans="1:11">
      <c r="A57" t="s">
        <v>62</v>
      </c>
      <c r="B57" t="s">
        <v>12</v>
      </c>
      <c r="C57" t="s">
        <v>193</v>
      </c>
      <c r="D57" t="s">
        <v>194</v>
      </c>
      <c r="E57" t="s">
        <v>195</v>
      </c>
      <c r="F57" t="s">
        <v>46</v>
      </c>
      <c r="G57" t="s">
        <v>41</v>
      </c>
      <c r="H57" t="s">
        <v>42</v>
      </c>
      <c r="I57">
        <v>2</v>
      </c>
      <c r="J57" t="s">
        <v>26</v>
      </c>
      <c r="K57">
        <v>24602.29</v>
      </c>
    </row>
    <row r="58" spans="1:11">
      <c r="A58" t="s">
        <v>32</v>
      </c>
      <c r="B58" t="s">
        <v>93</v>
      </c>
      <c r="C58" t="s">
        <v>196</v>
      </c>
      <c r="D58" t="s">
        <v>197</v>
      </c>
      <c r="E58" t="s">
        <v>198</v>
      </c>
      <c r="F58" t="s">
        <v>50</v>
      </c>
      <c r="G58" t="s">
        <v>41</v>
      </c>
      <c r="H58" t="s">
        <v>18</v>
      </c>
      <c r="I58">
        <v>12</v>
      </c>
      <c r="J58" t="s">
        <v>26</v>
      </c>
      <c r="K58">
        <v>61948.63</v>
      </c>
    </row>
    <row r="59" spans="1:11">
      <c r="A59" t="s">
        <v>20</v>
      </c>
      <c r="B59" t="s">
        <v>51</v>
      </c>
      <c r="C59" t="s">
        <v>199</v>
      </c>
      <c r="D59" t="s">
        <v>200</v>
      </c>
      <c r="E59" t="s">
        <v>201</v>
      </c>
      <c r="F59" t="s">
        <v>40</v>
      </c>
      <c r="G59" t="s">
        <v>41</v>
      </c>
      <c r="H59" t="s">
        <v>18</v>
      </c>
      <c r="I59">
        <v>10</v>
      </c>
      <c r="J59" t="s">
        <v>26</v>
      </c>
      <c r="K59">
        <v>29523.21</v>
      </c>
    </row>
    <row r="60" spans="1:11">
      <c r="A60" t="s">
        <v>20</v>
      </c>
      <c r="B60" t="s">
        <v>51</v>
      </c>
      <c r="C60" t="s">
        <v>202</v>
      </c>
      <c r="D60" t="s">
        <v>203</v>
      </c>
      <c r="E60" t="s">
        <v>204</v>
      </c>
      <c r="F60" t="s">
        <v>50</v>
      </c>
      <c r="G60" t="s">
        <v>41</v>
      </c>
      <c r="H60" t="s">
        <v>42</v>
      </c>
      <c r="I60">
        <v>11</v>
      </c>
      <c r="J60" t="s">
        <v>26</v>
      </c>
      <c r="K60">
        <v>7469.83</v>
      </c>
    </row>
    <row r="61" spans="1:11">
      <c r="A61" t="s">
        <v>11</v>
      </c>
      <c r="B61" t="s">
        <v>51</v>
      </c>
      <c r="C61" t="s">
        <v>205</v>
      </c>
      <c r="D61" t="s">
        <v>206</v>
      </c>
      <c r="E61" t="s">
        <v>207</v>
      </c>
      <c r="F61" t="s">
        <v>50</v>
      </c>
      <c r="G61" t="s">
        <v>41</v>
      </c>
      <c r="H61" t="s">
        <v>42</v>
      </c>
      <c r="I61">
        <v>18</v>
      </c>
      <c r="J61" t="s">
        <v>19</v>
      </c>
      <c r="K61">
        <v>36279</v>
      </c>
    </row>
    <row r="62" spans="1:11">
      <c r="A62" t="s">
        <v>55</v>
      </c>
      <c r="B62" t="s">
        <v>93</v>
      </c>
      <c r="C62" t="s">
        <v>87</v>
      </c>
      <c r="D62" t="s">
        <v>208</v>
      </c>
      <c r="E62" t="s">
        <v>209</v>
      </c>
      <c r="F62" t="s">
        <v>16</v>
      </c>
      <c r="G62" t="s">
        <v>17</v>
      </c>
      <c r="H62" t="s">
        <v>18</v>
      </c>
      <c r="I62">
        <v>16</v>
      </c>
      <c r="J62" t="s">
        <v>26</v>
      </c>
      <c r="K62">
        <v>11359.19</v>
      </c>
    </row>
    <row r="63" spans="1:11">
      <c r="A63" t="s">
        <v>11</v>
      </c>
      <c r="B63" t="s">
        <v>21</v>
      </c>
      <c r="C63" t="s">
        <v>210</v>
      </c>
      <c r="D63" t="s">
        <v>211</v>
      </c>
      <c r="E63" t="s">
        <v>212</v>
      </c>
      <c r="F63" t="s">
        <v>40</v>
      </c>
      <c r="G63" t="s">
        <v>41</v>
      </c>
      <c r="H63" t="s">
        <v>18</v>
      </c>
      <c r="I63">
        <v>20</v>
      </c>
      <c r="J63" t="s">
        <v>26</v>
      </c>
      <c r="K63">
        <v>3972.23</v>
      </c>
    </row>
    <row r="64" spans="1:11">
      <c r="A64" t="s">
        <v>36</v>
      </c>
      <c r="B64" t="s">
        <v>93</v>
      </c>
      <c r="C64" t="s">
        <v>213</v>
      </c>
      <c r="D64" t="s">
        <v>214</v>
      </c>
      <c r="E64" t="s">
        <v>215</v>
      </c>
      <c r="F64" t="s">
        <v>25</v>
      </c>
      <c r="G64" t="s">
        <v>41</v>
      </c>
      <c r="H64" t="s">
        <v>18</v>
      </c>
      <c r="I64">
        <v>15</v>
      </c>
      <c r="J64" t="s">
        <v>26</v>
      </c>
      <c r="K64">
        <v>57856.83</v>
      </c>
    </row>
    <row r="65" spans="1:11">
      <c r="A65" t="s">
        <v>36</v>
      </c>
      <c r="B65" t="s">
        <v>93</v>
      </c>
      <c r="C65" t="s">
        <v>216</v>
      </c>
      <c r="D65" t="s">
        <v>217</v>
      </c>
      <c r="E65" t="s">
        <v>218</v>
      </c>
      <c r="F65" t="s">
        <v>16</v>
      </c>
      <c r="G65" t="s">
        <v>41</v>
      </c>
      <c r="H65" t="s">
        <v>42</v>
      </c>
      <c r="I65">
        <v>6</v>
      </c>
      <c r="J65" t="s">
        <v>26</v>
      </c>
      <c r="K65">
        <v>16505.53</v>
      </c>
    </row>
    <row r="66" spans="1:11">
      <c r="A66" t="s">
        <v>11</v>
      </c>
      <c r="B66" t="s">
        <v>21</v>
      </c>
      <c r="C66" t="s">
        <v>219</v>
      </c>
      <c r="D66" t="s">
        <v>220</v>
      </c>
      <c r="E66" t="s">
        <v>221</v>
      </c>
      <c r="F66" t="s">
        <v>16</v>
      </c>
      <c r="G66" t="s">
        <v>41</v>
      </c>
      <c r="H66" t="s">
        <v>42</v>
      </c>
      <c r="I66">
        <v>12</v>
      </c>
      <c r="J66" t="s">
        <v>26</v>
      </c>
      <c r="K66">
        <v>17447.87</v>
      </c>
    </row>
    <row r="67" spans="1:11">
      <c r="A67" t="s">
        <v>67</v>
      </c>
      <c r="B67" t="s">
        <v>28</v>
      </c>
      <c r="C67" t="s">
        <v>222</v>
      </c>
      <c r="D67" t="s">
        <v>223</v>
      </c>
      <c r="E67" t="s">
        <v>153</v>
      </c>
      <c r="F67" t="s">
        <v>50</v>
      </c>
      <c r="G67" t="s">
        <v>41</v>
      </c>
      <c r="H67" t="s">
        <v>66</v>
      </c>
      <c r="I67">
        <v>2</v>
      </c>
      <c r="J67" t="s">
        <v>26</v>
      </c>
      <c r="K67">
        <v>26028.44</v>
      </c>
    </row>
    <row r="68" spans="1:11">
      <c r="A68" t="s">
        <v>67</v>
      </c>
      <c r="B68" t="s">
        <v>21</v>
      </c>
      <c r="C68" t="s">
        <v>224</v>
      </c>
      <c r="D68" t="s">
        <v>225</v>
      </c>
      <c r="E68" t="s">
        <v>226</v>
      </c>
      <c r="F68" t="s">
        <v>16</v>
      </c>
      <c r="G68" t="s">
        <v>41</v>
      </c>
      <c r="H68" t="s">
        <v>42</v>
      </c>
      <c r="I68">
        <v>5</v>
      </c>
      <c r="J68" t="s">
        <v>26</v>
      </c>
      <c r="K68">
        <v>32103.89</v>
      </c>
    </row>
    <row r="69" spans="1:11">
      <c r="A69" t="s">
        <v>27</v>
      </c>
      <c r="B69" t="s">
        <v>51</v>
      </c>
      <c r="C69" t="s">
        <v>227</v>
      </c>
      <c r="D69" t="s">
        <v>228</v>
      </c>
      <c r="E69" t="s">
        <v>229</v>
      </c>
      <c r="F69" t="s">
        <v>46</v>
      </c>
      <c r="G69" t="s">
        <v>17</v>
      </c>
      <c r="H69" t="s">
        <v>18</v>
      </c>
      <c r="I69">
        <v>6</v>
      </c>
      <c r="J69" t="s">
        <v>26</v>
      </c>
      <c r="K69">
        <v>48249.02</v>
      </c>
    </row>
    <row r="70" spans="1:11">
      <c r="A70" t="s">
        <v>11</v>
      </c>
      <c r="B70" t="s">
        <v>93</v>
      </c>
      <c r="C70" t="s">
        <v>230</v>
      </c>
      <c r="D70" t="s">
        <v>231</v>
      </c>
      <c r="E70" t="s">
        <v>232</v>
      </c>
      <c r="F70" t="s">
        <v>25</v>
      </c>
      <c r="G70" t="s">
        <v>17</v>
      </c>
      <c r="H70" t="s">
        <v>42</v>
      </c>
      <c r="I70">
        <v>7</v>
      </c>
      <c r="J70" t="s">
        <v>26</v>
      </c>
      <c r="K70">
        <v>20169.080000000002</v>
      </c>
    </row>
    <row r="71" spans="1:11">
      <c r="A71" t="s">
        <v>36</v>
      </c>
      <c r="B71" t="s">
        <v>51</v>
      </c>
      <c r="C71" t="s">
        <v>233</v>
      </c>
      <c r="D71" t="s">
        <v>234</v>
      </c>
      <c r="E71" t="s">
        <v>235</v>
      </c>
      <c r="F71" t="s">
        <v>40</v>
      </c>
      <c r="G71" t="s">
        <v>41</v>
      </c>
      <c r="H71" t="s">
        <v>18</v>
      </c>
      <c r="I71">
        <v>16</v>
      </c>
      <c r="J71" t="s">
        <v>26</v>
      </c>
      <c r="K71">
        <v>6537.04</v>
      </c>
    </row>
    <row r="72" spans="1:11">
      <c r="A72" t="s">
        <v>20</v>
      </c>
      <c r="B72" t="s">
        <v>12</v>
      </c>
      <c r="C72" t="s">
        <v>236</v>
      </c>
      <c r="D72" t="s">
        <v>237</v>
      </c>
      <c r="E72" t="s">
        <v>238</v>
      </c>
      <c r="F72" t="s">
        <v>40</v>
      </c>
      <c r="G72" t="s">
        <v>41</v>
      </c>
      <c r="H72" t="s">
        <v>18</v>
      </c>
      <c r="I72">
        <v>13</v>
      </c>
      <c r="J72" t="s">
        <v>26</v>
      </c>
      <c r="K72">
        <v>44607.14</v>
      </c>
    </row>
    <row r="73" spans="1:11">
      <c r="A73" t="s">
        <v>86</v>
      </c>
      <c r="B73" t="s">
        <v>28</v>
      </c>
      <c r="C73" t="s">
        <v>239</v>
      </c>
      <c r="D73" t="s">
        <v>240</v>
      </c>
      <c r="E73" t="s">
        <v>241</v>
      </c>
      <c r="F73" t="s">
        <v>40</v>
      </c>
      <c r="G73" t="s">
        <v>41</v>
      </c>
      <c r="H73" t="s">
        <v>18</v>
      </c>
      <c r="I73">
        <v>2</v>
      </c>
      <c r="J73" t="s">
        <v>26</v>
      </c>
      <c r="K73">
        <v>27769.51</v>
      </c>
    </row>
    <row r="74" spans="1:11">
      <c r="A74" t="s">
        <v>36</v>
      </c>
      <c r="B74" t="s">
        <v>51</v>
      </c>
      <c r="C74" t="s">
        <v>199</v>
      </c>
      <c r="D74" t="s">
        <v>242</v>
      </c>
      <c r="E74" t="s">
        <v>243</v>
      </c>
      <c r="F74" t="s">
        <v>16</v>
      </c>
      <c r="G74" t="s">
        <v>41</v>
      </c>
      <c r="H74" t="s">
        <v>42</v>
      </c>
      <c r="I74">
        <v>13</v>
      </c>
      <c r="J74" t="s">
        <v>26</v>
      </c>
      <c r="K74">
        <v>36727.339999999997</v>
      </c>
    </row>
    <row r="75" spans="1:11">
      <c r="A75" t="s">
        <v>82</v>
      </c>
      <c r="B75" t="s">
        <v>21</v>
      </c>
      <c r="C75" t="s">
        <v>244</v>
      </c>
      <c r="D75" t="s">
        <v>245</v>
      </c>
      <c r="E75" t="s">
        <v>246</v>
      </c>
      <c r="F75" t="s">
        <v>50</v>
      </c>
      <c r="G75" t="s">
        <v>41</v>
      </c>
      <c r="H75" t="s">
        <v>18</v>
      </c>
      <c r="I75">
        <v>4</v>
      </c>
      <c r="J75" t="s">
        <v>26</v>
      </c>
      <c r="K75">
        <v>5193.1499999999996</v>
      </c>
    </row>
    <row r="76" spans="1:11">
      <c r="A76" t="s">
        <v>32</v>
      </c>
      <c r="B76" t="s">
        <v>12</v>
      </c>
      <c r="C76" t="s">
        <v>142</v>
      </c>
      <c r="D76" t="s">
        <v>247</v>
      </c>
      <c r="E76" t="s">
        <v>248</v>
      </c>
      <c r="F76" t="s">
        <v>40</v>
      </c>
      <c r="G76" t="s">
        <v>41</v>
      </c>
      <c r="H76" t="s">
        <v>18</v>
      </c>
      <c r="I76">
        <v>15</v>
      </c>
      <c r="J76" t="s">
        <v>26</v>
      </c>
      <c r="K76">
        <v>29454.77</v>
      </c>
    </row>
    <row r="77" spans="1:11">
      <c r="A77" t="s">
        <v>36</v>
      </c>
      <c r="B77" t="s">
        <v>51</v>
      </c>
      <c r="C77" t="s">
        <v>249</v>
      </c>
      <c r="D77" t="s">
        <v>250</v>
      </c>
      <c r="E77" t="s">
        <v>251</v>
      </c>
      <c r="F77" t="s">
        <v>46</v>
      </c>
      <c r="G77" t="s">
        <v>41</v>
      </c>
      <c r="H77" t="s">
        <v>42</v>
      </c>
      <c r="I77">
        <v>13</v>
      </c>
      <c r="J77" t="s">
        <v>19</v>
      </c>
      <c r="K77">
        <v>30196.720000000001</v>
      </c>
    </row>
    <row r="78" spans="1:11">
      <c r="A78" t="s">
        <v>11</v>
      </c>
      <c r="B78" t="s">
        <v>12</v>
      </c>
      <c r="C78" t="s">
        <v>252</v>
      </c>
      <c r="D78" t="s">
        <v>253</v>
      </c>
      <c r="E78" t="s">
        <v>92</v>
      </c>
      <c r="F78" t="s">
        <v>50</v>
      </c>
      <c r="G78" t="s">
        <v>96</v>
      </c>
      <c r="H78" t="s">
        <v>18</v>
      </c>
      <c r="I78">
        <v>7</v>
      </c>
      <c r="J78" t="s">
        <v>19</v>
      </c>
      <c r="K78">
        <v>28483.81</v>
      </c>
    </row>
    <row r="79" spans="1:11">
      <c r="A79" t="s">
        <v>32</v>
      </c>
      <c r="B79" t="s">
        <v>21</v>
      </c>
      <c r="C79" t="s">
        <v>254</v>
      </c>
      <c r="D79" t="s">
        <v>255</v>
      </c>
      <c r="E79" t="s">
        <v>256</v>
      </c>
      <c r="F79" t="s">
        <v>46</v>
      </c>
      <c r="G79" t="s">
        <v>41</v>
      </c>
      <c r="H79" t="s">
        <v>18</v>
      </c>
      <c r="I79">
        <v>13</v>
      </c>
      <c r="J79" t="s">
        <v>26</v>
      </c>
      <c r="K79">
        <v>14284.73</v>
      </c>
    </row>
    <row r="80" spans="1:11">
      <c r="A80" t="s">
        <v>20</v>
      </c>
      <c r="B80" t="s">
        <v>28</v>
      </c>
      <c r="C80" t="s">
        <v>254</v>
      </c>
      <c r="D80" t="s">
        <v>257</v>
      </c>
      <c r="E80" t="s">
        <v>179</v>
      </c>
      <c r="F80" t="s">
        <v>16</v>
      </c>
      <c r="G80" t="s">
        <v>41</v>
      </c>
      <c r="H80" t="s">
        <v>18</v>
      </c>
      <c r="I80">
        <v>23</v>
      </c>
      <c r="J80" t="s">
        <v>26</v>
      </c>
      <c r="K80">
        <v>32107.49</v>
      </c>
    </row>
    <row r="81" spans="1:11">
      <c r="A81" t="s">
        <v>55</v>
      </c>
      <c r="B81" t="s">
        <v>28</v>
      </c>
      <c r="C81" t="s">
        <v>258</v>
      </c>
      <c r="D81" t="s">
        <v>259</v>
      </c>
      <c r="E81" t="s">
        <v>260</v>
      </c>
      <c r="F81" t="s">
        <v>50</v>
      </c>
      <c r="G81" t="s">
        <v>41</v>
      </c>
      <c r="H81" t="s">
        <v>42</v>
      </c>
      <c r="I81">
        <v>4</v>
      </c>
      <c r="J81" t="s">
        <v>19</v>
      </c>
      <c r="K81">
        <v>34848.300000000003</v>
      </c>
    </row>
    <row r="82" spans="1:11">
      <c r="A82" t="s">
        <v>55</v>
      </c>
      <c r="B82" t="s">
        <v>28</v>
      </c>
      <c r="C82" t="s">
        <v>261</v>
      </c>
      <c r="D82" t="s">
        <v>262</v>
      </c>
      <c r="E82" t="s">
        <v>263</v>
      </c>
      <c r="F82" t="s">
        <v>16</v>
      </c>
      <c r="G82" t="s">
        <v>41</v>
      </c>
      <c r="H82" t="s">
        <v>18</v>
      </c>
      <c r="I82">
        <v>6</v>
      </c>
      <c r="J82" t="s">
        <v>19</v>
      </c>
      <c r="K82">
        <v>36806.269999999997</v>
      </c>
    </row>
    <row r="83" spans="1:11">
      <c r="A83" t="s">
        <v>62</v>
      </c>
      <c r="B83" t="s">
        <v>12</v>
      </c>
      <c r="C83" t="s">
        <v>264</v>
      </c>
      <c r="D83" t="s">
        <v>265</v>
      </c>
      <c r="E83" t="s">
        <v>266</v>
      </c>
      <c r="F83" t="s">
        <v>40</v>
      </c>
      <c r="G83" t="s">
        <v>41</v>
      </c>
      <c r="H83" t="s">
        <v>18</v>
      </c>
      <c r="I83">
        <v>18</v>
      </c>
      <c r="J83" t="s">
        <v>26</v>
      </c>
      <c r="K83">
        <v>12689.77</v>
      </c>
    </row>
    <row r="84" spans="1:11">
      <c r="A84" t="s">
        <v>36</v>
      </c>
      <c r="B84" t="s">
        <v>51</v>
      </c>
      <c r="C84" t="s">
        <v>267</v>
      </c>
      <c r="D84" t="s">
        <v>268</v>
      </c>
      <c r="E84" t="s">
        <v>269</v>
      </c>
      <c r="F84" t="s">
        <v>50</v>
      </c>
      <c r="G84" t="s">
        <v>41</v>
      </c>
      <c r="H84" t="s">
        <v>18</v>
      </c>
      <c r="I84">
        <v>17</v>
      </c>
      <c r="J84" t="s">
        <v>19</v>
      </c>
      <c r="K84">
        <v>31191.71</v>
      </c>
    </row>
    <row r="85" spans="1:11">
      <c r="A85" t="s">
        <v>86</v>
      </c>
      <c r="B85" t="s">
        <v>51</v>
      </c>
      <c r="C85" t="s">
        <v>270</v>
      </c>
      <c r="D85" t="s">
        <v>271</v>
      </c>
      <c r="E85" t="s">
        <v>269</v>
      </c>
      <c r="F85" t="s">
        <v>40</v>
      </c>
      <c r="G85" t="s">
        <v>41</v>
      </c>
      <c r="H85" t="s">
        <v>18</v>
      </c>
      <c r="I85">
        <v>16</v>
      </c>
      <c r="J85" t="s">
        <v>26</v>
      </c>
      <c r="K85">
        <v>53451.89</v>
      </c>
    </row>
    <row r="86" spans="1:11">
      <c r="A86" t="s">
        <v>20</v>
      </c>
      <c r="B86" t="s">
        <v>51</v>
      </c>
      <c r="C86" t="s">
        <v>272</v>
      </c>
      <c r="D86" t="s">
        <v>273</v>
      </c>
      <c r="E86" t="s">
        <v>148</v>
      </c>
      <c r="F86" t="s">
        <v>40</v>
      </c>
      <c r="G86" t="s">
        <v>41</v>
      </c>
      <c r="H86" t="s">
        <v>42</v>
      </c>
      <c r="I86">
        <v>10</v>
      </c>
      <c r="J86" t="s">
        <v>19</v>
      </c>
      <c r="K86">
        <v>13693.96</v>
      </c>
    </row>
    <row r="87" spans="1:11">
      <c r="A87" t="s">
        <v>67</v>
      </c>
      <c r="B87" t="s">
        <v>28</v>
      </c>
      <c r="C87" t="s">
        <v>274</v>
      </c>
      <c r="D87" t="s">
        <v>275</v>
      </c>
      <c r="E87" t="s">
        <v>119</v>
      </c>
      <c r="F87" t="s">
        <v>46</v>
      </c>
      <c r="G87" t="s">
        <v>41</v>
      </c>
      <c r="H87" t="s">
        <v>18</v>
      </c>
      <c r="I87">
        <v>6</v>
      </c>
      <c r="J87" t="s">
        <v>26</v>
      </c>
      <c r="K87">
        <v>12762.85</v>
      </c>
    </row>
    <row r="88" spans="1:11">
      <c r="A88" t="s">
        <v>67</v>
      </c>
      <c r="B88" t="s">
        <v>93</v>
      </c>
      <c r="C88" t="s">
        <v>169</v>
      </c>
      <c r="D88" t="s">
        <v>276</v>
      </c>
      <c r="E88" t="s">
        <v>277</v>
      </c>
      <c r="F88" t="s">
        <v>46</v>
      </c>
      <c r="G88" t="s">
        <v>41</v>
      </c>
      <c r="H88" t="s">
        <v>18</v>
      </c>
      <c r="I88">
        <v>11</v>
      </c>
      <c r="J88" t="s">
        <v>26</v>
      </c>
      <c r="K88">
        <v>30117.279999999999</v>
      </c>
    </row>
    <row r="89" spans="1:11">
      <c r="A89" t="s">
        <v>82</v>
      </c>
      <c r="B89" t="s">
        <v>28</v>
      </c>
      <c r="C89" t="s">
        <v>131</v>
      </c>
      <c r="D89" t="s">
        <v>278</v>
      </c>
      <c r="E89" t="s">
        <v>279</v>
      </c>
      <c r="F89" t="s">
        <v>50</v>
      </c>
      <c r="G89" t="s">
        <v>17</v>
      </c>
      <c r="H89" t="s">
        <v>42</v>
      </c>
      <c r="I89">
        <v>13</v>
      </c>
      <c r="J89" t="s">
        <v>26</v>
      </c>
      <c r="K89">
        <v>37407.75</v>
      </c>
    </row>
    <row r="90" spans="1:11">
      <c r="A90" t="s">
        <v>67</v>
      </c>
      <c r="B90" t="s">
        <v>21</v>
      </c>
      <c r="C90" t="s">
        <v>280</v>
      </c>
      <c r="D90" t="s">
        <v>281</v>
      </c>
      <c r="E90" t="s">
        <v>282</v>
      </c>
      <c r="F90" t="s">
        <v>50</v>
      </c>
      <c r="G90" t="s">
        <v>41</v>
      </c>
      <c r="H90" t="s">
        <v>18</v>
      </c>
      <c r="I90">
        <v>12</v>
      </c>
      <c r="J90" t="s">
        <v>26</v>
      </c>
      <c r="K90">
        <v>46803.01</v>
      </c>
    </row>
    <row r="91" spans="1:11">
      <c r="A91" t="s">
        <v>20</v>
      </c>
      <c r="B91" t="s">
        <v>51</v>
      </c>
      <c r="C91" t="s">
        <v>111</v>
      </c>
      <c r="D91" t="s">
        <v>283</v>
      </c>
      <c r="E91" t="s">
        <v>284</v>
      </c>
      <c r="F91" t="s">
        <v>16</v>
      </c>
      <c r="G91" t="s">
        <v>41</v>
      </c>
      <c r="H91" t="s">
        <v>18</v>
      </c>
      <c r="I91">
        <v>10</v>
      </c>
      <c r="J91" t="s">
        <v>26</v>
      </c>
      <c r="K91">
        <v>65802.539999999994</v>
      </c>
    </row>
    <row r="92" spans="1:11">
      <c r="A92" t="s">
        <v>62</v>
      </c>
      <c r="B92" t="s">
        <v>21</v>
      </c>
      <c r="C92" t="s">
        <v>285</v>
      </c>
      <c r="D92" t="s">
        <v>286</v>
      </c>
      <c r="E92" t="s">
        <v>138</v>
      </c>
      <c r="F92" t="s">
        <v>46</v>
      </c>
      <c r="G92" t="s">
        <v>17</v>
      </c>
      <c r="H92" t="s">
        <v>18</v>
      </c>
      <c r="I92">
        <v>15</v>
      </c>
      <c r="J92" t="s">
        <v>26</v>
      </c>
      <c r="K92">
        <v>12142.64</v>
      </c>
    </row>
    <row r="93" spans="1:11">
      <c r="A93" t="s">
        <v>86</v>
      </c>
      <c r="B93" t="s">
        <v>93</v>
      </c>
      <c r="C93" t="s">
        <v>287</v>
      </c>
      <c r="D93" t="s">
        <v>288</v>
      </c>
      <c r="E93" t="s">
        <v>75</v>
      </c>
      <c r="F93" t="s">
        <v>16</v>
      </c>
      <c r="G93" t="s">
        <v>17</v>
      </c>
      <c r="H93" t="s">
        <v>18</v>
      </c>
      <c r="I93">
        <v>5</v>
      </c>
      <c r="J93" t="s">
        <v>26</v>
      </c>
      <c r="K93">
        <v>32237.09</v>
      </c>
    </row>
    <row r="94" spans="1:11">
      <c r="A94" t="s">
        <v>55</v>
      </c>
      <c r="B94" t="s">
        <v>12</v>
      </c>
      <c r="C94" t="s">
        <v>289</v>
      </c>
      <c r="D94" t="s">
        <v>290</v>
      </c>
      <c r="E94" t="s">
        <v>165</v>
      </c>
      <c r="F94" t="s">
        <v>16</v>
      </c>
      <c r="G94" t="s">
        <v>17</v>
      </c>
      <c r="H94" t="s">
        <v>18</v>
      </c>
      <c r="I94">
        <v>10</v>
      </c>
      <c r="J94" t="s">
        <v>26</v>
      </c>
      <c r="K94">
        <v>35710.01</v>
      </c>
    </row>
    <row r="95" spans="1:11">
      <c r="A95" t="s">
        <v>55</v>
      </c>
      <c r="B95" t="s">
        <v>12</v>
      </c>
      <c r="C95" t="s">
        <v>291</v>
      </c>
      <c r="D95" t="s">
        <v>292</v>
      </c>
      <c r="E95" t="s">
        <v>260</v>
      </c>
      <c r="F95" t="s">
        <v>40</v>
      </c>
      <c r="G95" t="s">
        <v>41</v>
      </c>
      <c r="H95" t="s">
        <v>42</v>
      </c>
      <c r="I95">
        <v>14</v>
      </c>
      <c r="J95" t="s">
        <v>19</v>
      </c>
      <c r="K95">
        <v>23907.57</v>
      </c>
    </row>
    <row r="96" spans="1:11">
      <c r="A96" t="s">
        <v>82</v>
      </c>
      <c r="B96" t="s">
        <v>28</v>
      </c>
      <c r="C96" t="s">
        <v>293</v>
      </c>
      <c r="D96" t="s">
        <v>294</v>
      </c>
      <c r="E96" t="s">
        <v>295</v>
      </c>
      <c r="F96" t="s">
        <v>25</v>
      </c>
      <c r="G96" t="s">
        <v>41</v>
      </c>
      <c r="H96" t="s">
        <v>18</v>
      </c>
      <c r="I96">
        <v>6</v>
      </c>
      <c r="J96" t="s">
        <v>26</v>
      </c>
      <c r="K96">
        <v>2277.29</v>
      </c>
    </row>
    <row r="97" spans="1:11">
      <c r="A97" t="s">
        <v>67</v>
      </c>
      <c r="B97" t="s">
        <v>12</v>
      </c>
      <c r="C97" t="s">
        <v>296</v>
      </c>
      <c r="D97" t="s">
        <v>297</v>
      </c>
      <c r="E97" t="s">
        <v>298</v>
      </c>
      <c r="F97" t="s">
        <v>25</v>
      </c>
      <c r="G97" t="s">
        <v>41</v>
      </c>
      <c r="H97" t="s">
        <v>18</v>
      </c>
      <c r="I97">
        <v>9</v>
      </c>
      <c r="J97" t="s">
        <v>26</v>
      </c>
      <c r="K97">
        <v>37845.980000000003</v>
      </c>
    </row>
    <row r="98" spans="1:11">
      <c r="A98" t="s">
        <v>32</v>
      </c>
      <c r="B98" t="s">
        <v>28</v>
      </c>
      <c r="C98" t="s">
        <v>299</v>
      </c>
      <c r="D98" t="s">
        <v>300</v>
      </c>
      <c r="E98" t="s">
        <v>99</v>
      </c>
      <c r="F98" t="s">
        <v>40</v>
      </c>
      <c r="G98" t="s">
        <v>17</v>
      </c>
      <c r="H98" t="s">
        <v>18</v>
      </c>
      <c r="I98">
        <v>13</v>
      </c>
      <c r="J98" t="s">
        <v>26</v>
      </c>
      <c r="K98">
        <v>6313.92</v>
      </c>
    </row>
    <row r="99" spans="1:11">
      <c r="A99" t="s">
        <v>20</v>
      </c>
      <c r="B99" t="s">
        <v>28</v>
      </c>
      <c r="C99" t="s">
        <v>301</v>
      </c>
      <c r="D99" t="s">
        <v>302</v>
      </c>
      <c r="E99" t="s">
        <v>104</v>
      </c>
      <c r="F99" t="s">
        <v>46</v>
      </c>
      <c r="G99" t="s">
        <v>41</v>
      </c>
      <c r="H99" t="s">
        <v>18</v>
      </c>
      <c r="I99">
        <v>13</v>
      </c>
      <c r="J99" t="s">
        <v>26</v>
      </c>
      <c r="K99">
        <v>30779.759999999998</v>
      </c>
    </row>
    <row r="100" spans="1:11">
      <c r="A100" t="s">
        <v>36</v>
      </c>
      <c r="B100" t="s">
        <v>51</v>
      </c>
      <c r="C100" t="s">
        <v>303</v>
      </c>
      <c r="D100" t="s">
        <v>304</v>
      </c>
      <c r="E100" t="s">
        <v>305</v>
      </c>
      <c r="F100" t="s">
        <v>50</v>
      </c>
      <c r="G100" t="s">
        <v>41</v>
      </c>
      <c r="H100" t="s">
        <v>42</v>
      </c>
      <c r="I100">
        <v>6</v>
      </c>
      <c r="J100" t="s">
        <v>26</v>
      </c>
      <c r="K100">
        <v>27305.88</v>
      </c>
    </row>
    <row r="101" spans="1:11">
      <c r="A101" t="s">
        <v>27</v>
      </c>
      <c r="B101" t="s">
        <v>51</v>
      </c>
      <c r="C101" t="s">
        <v>249</v>
      </c>
      <c r="D101" t="s">
        <v>306</v>
      </c>
      <c r="E101" t="s">
        <v>124</v>
      </c>
      <c r="F101" t="s">
        <v>25</v>
      </c>
      <c r="G101" t="s">
        <v>17</v>
      </c>
      <c r="H101" t="s">
        <v>18</v>
      </c>
      <c r="I101">
        <v>12</v>
      </c>
      <c r="J101" t="s">
        <v>19</v>
      </c>
      <c r="K101">
        <v>7855.45</v>
      </c>
    </row>
    <row r="102" spans="1:11">
      <c r="A102" t="s">
        <v>67</v>
      </c>
      <c r="B102" t="s">
        <v>28</v>
      </c>
      <c r="C102" t="s">
        <v>307</v>
      </c>
      <c r="D102" t="s">
        <v>308</v>
      </c>
      <c r="E102" t="s">
        <v>309</v>
      </c>
      <c r="F102" t="s">
        <v>40</v>
      </c>
      <c r="G102" t="s">
        <v>17</v>
      </c>
      <c r="H102" t="s">
        <v>18</v>
      </c>
      <c r="I102">
        <v>14</v>
      </c>
      <c r="J102" t="s">
        <v>26</v>
      </c>
      <c r="K102">
        <v>33411.769999999997</v>
      </c>
    </row>
    <row r="103" spans="1:11">
      <c r="A103" t="s">
        <v>27</v>
      </c>
      <c r="B103" t="s">
        <v>51</v>
      </c>
      <c r="C103" t="s">
        <v>310</v>
      </c>
      <c r="D103" t="s">
        <v>311</v>
      </c>
      <c r="E103" t="s">
        <v>312</v>
      </c>
      <c r="F103" t="s">
        <v>25</v>
      </c>
      <c r="G103" t="s">
        <v>41</v>
      </c>
      <c r="H103" t="s">
        <v>42</v>
      </c>
      <c r="I103">
        <v>18</v>
      </c>
      <c r="J103" t="s">
        <v>26</v>
      </c>
      <c r="K103">
        <v>40807.03</v>
      </c>
    </row>
    <row r="104" spans="1:11">
      <c r="A104" t="s">
        <v>27</v>
      </c>
      <c r="B104" t="s">
        <v>93</v>
      </c>
      <c r="C104" t="s">
        <v>79</v>
      </c>
      <c r="D104" t="s">
        <v>313</v>
      </c>
      <c r="E104" t="s">
        <v>75</v>
      </c>
      <c r="F104" t="s">
        <v>46</v>
      </c>
      <c r="G104" t="s">
        <v>41</v>
      </c>
      <c r="H104" t="s">
        <v>18</v>
      </c>
      <c r="I104">
        <v>3</v>
      </c>
      <c r="J104" t="s">
        <v>19</v>
      </c>
      <c r="K104">
        <v>10932.62</v>
      </c>
    </row>
    <row r="105" spans="1:11">
      <c r="A105" t="s">
        <v>20</v>
      </c>
      <c r="B105" t="s">
        <v>51</v>
      </c>
      <c r="C105" t="s">
        <v>314</v>
      </c>
      <c r="D105" t="s">
        <v>315</v>
      </c>
      <c r="E105" t="s">
        <v>316</v>
      </c>
      <c r="F105" t="s">
        <v>46</v>
      </c>
      <c r="G105" t="s">
        <v>17</v>
      </c>
      <c r="H105" t="s">
        <v>42</v>
      </c>
      <c r="I105">
        <v>15</v>
      </c>
      <c r="J105" t="s">
        <v>26</v>
      </c>
      <c r="K105">
        <v>32706.79</v>
      </c>
    </row>
    <row r="106" spans="1:11">
      <c r="A106" t="s">
        <v>86</v>
      </c>
      <c r="B106" t="s">
        <v>21</v>
      </c>
      <c r="C106" t="s">
        <v>314</v>
      </c>
      <c r="D106" t="s">
        <v>317</v>
      </c>
      <c r="E106" t="s">
        <v>318</v>
      </c>
      <c r="F106" t="s">
        <v>46</v>
      </c>
      <c r="G106" t="s">
        <v>17</v>
      </c>
      <c r="H106" t="s">
        <v>18</v>
      </c>
      <c r="I106">
        <v>15</v>
      </c>
      <c r="J106" t="s">
        <v>26</v>
      </c>
      <c r="K106">
        <v>82790.97</v>
      </c>
    </row>
    <row r="107" spans="1:11">
      <c r="A107" t="s">
        <v>55</v>
      </c>
      <c r="B107" t="s">
        <v>12</v>
      </c>
      <c r="C107" t="s">
        <v>319</v>
      </c>
      <c r="D107" t="s">
        <v>320</v>
      </c>
      <c r="E107" t="s">
        <v>321</v>
      </c>
      <c r="F107" t="s">
        <v>16</v>
      </c>
      <c r="G107" t="s">
        <v>17</v>
      </c>
      <c r="H107" t="s">
        <v>42</v>
      </c>
      <c r="I107">
        <v>15</v>
      </c>
      <c r="J107" t="s">
        <v>26</v>
      </c>
      <c r="K107">
        <v>42033.48</v>
      </c>
    </row>
    <row r="108" spans="1:11">
      <c r="A108" t="s">
        <v>55</v>
      </c>
      <c r="B108" t="s">
        <v>28</v>
      </c>
      <c r="C108" t="s">
        <v>322</v>
      </c>
      <c r="D108" t="s">
        <v>323</v>
      </c>
      <c r="E108" t="s">
        <v>248</v>
      </c>
      <c r="F108" t="s">
        <v>40</v>
      </c>
      <c r="G108" t="s">
        <v>41</v>
      </c>
      <c r="H108" t="s">
        <v>18</v>
      </c>
      <c r="I108">
        <v>17</v>
      </c>
      <c r="J108" t="s">
        <v>26</v>
      </c>
      <c r="K108">
        <v>34770.870000000003</v>
      </c>
    </row>
    <row r="109" spans="1:11">
      <c r="A109" t="s">
        <v>32</v>
      </c>
      <c r="B109" t="s">
        <v>28</v>
      </c>
      <c r="C109" t="s">
        <v>324</v>
      </c>
      <c r="D109" t="s">
        <v>325</v>
      </c>
      <c r="E109" t="s">
        <v>124</v>
      </c>
      <c r="F109" t="s">
        <v>46</v>
      </c>
      <c r="G109" t="s">
        <v>41</v>
      </c>
      <c r="H109" t="s">
        <v>18</v>
      </c>
      <c r="I109">
        <v>10</v>
      </c>
      <c r="J109" t="s">
        <v>19</v>
      </c>
      <c r="K109">
        <v>36384.54</v>
      </c>
    </row>
    <row r="110" spans="1:11">
      <c r="A110" t="s">
        <v>62</v>
      </c>
      <c r="B110" t="s">
        <v>51</v>
      </c>
      <c r="C110" t="s">
        <v>151</v>
      </c>
      <c r="D110" t="s">
        <v>326</v>
      </c>
      <c r="E110" t="s">
        <v>130</v>
      </c>
      <c r="F110" t="s">
        <v>46</v>
      </c>
      <c r="G110" t="s">
        <v>41</v>
      </c>
      <c r="H110" t="s">
        <v>18</v>
      </c>
      <c r="I110">
        <v>7</v>
      </c>
      <c r="J110" t="s">
        <v>26</v>
      </c>
      <c r="K110">
        <v>21447.72</v>
      </c>
    </row>
    <row r="111" spans="1:11">
      <c r="A111" t="s">
        <v>36</v>
      </c>
      <c r="B111" t="s">
        <v>28</v>
      </c>
      <c r="C111" t="s">
        <v>327</v>
      </c>
      <c r="D111" t="s">
        <v>328</v>
      </c>
      <c r="E111" t="s">
        <v>329</v>
      </c>
      <c r="F111" t="s">
        <v>40</v>
      </c>
      <c r="G111" t="s">
        <v>41</v>
      </c>
      <c r="H111" t="s">
        <v>18</v>
      </c>
      <c r="I111">
        <v>9</v>
      </c>
      <c r="J111" t="s">
        <v>26</v>
      </c>
      <c r="K111">
        <v>26228.11</v>
      </c>
    </row>
    <row r="112" spans="1:11">
      <c r="A112" t="s">
        <v>82</v>
      </c>
      <c r="B112" t="s">
        <v>28</v>
      </c>
      <c r="C112" t="s">
        <v>330</v>
      </c>
      <c r="D112" t="s">
        <v>331</v>
      </c>
      <c r="E112" t="s">
        <v>305</v>
      </c>
      <c r="F112" t="s">
        <v>40</v>
      </c>
      <c r="G112" t="s">
        <v>41</v>
      </c>
      <c r="H112" t="s">
        <v>18</v>
      </c>
      <c r="I112">
        <v>25</v>
      </c>
      <c r="J112" t="s">
        <v>26</v>
      </c>
      <c r="K112">
        <v>3008.98</v>
      </c>
    </row>
    <row r="113" spans="1:11">
      <c r="A113" t="s">
        <v>67</v>
      </c>
      <c r="B113" t="s">
        <v>12</v>
      </c>
      <c r="C113" t="s">
        <v>332</v>
      </c>
      <c r="D113" t="s">
        <v>333</v>
      </c>
      <c r="E113" t="s">
        <v>334</v>
      </c>
      <c r="F113" t="s">
        <v>40</v>
      </c>
      <c r="G113" t="s">
        <v>17</v>
      </c>
      <c r="H113" t="s">
        <v>18</v>
      </c>
      <c r="I113">
        <v>16</v>
      </c>
      <c r="J113" t="s">
        <v>26</v>
      </c>
      <c r="K113">
        <v>809.26</v>
      </c>
    </row>
    <row r="114" spans="1:11">
      <c r="A114" t="s">
        <v>82</v>
      </c>
      <c r="B114" t="s">
        <v>28</v>
      </c>
      <c r="C114" t="s">
        <v>335</v>
      </c>
      <c r="D114" t="s">
        <v>336</v>
      </c>
      <c r="E114" t="s">
        <v>35</v>
      </c>
      <c r="F114" t="s">
        <v>40</v>
      </c>
      <c r="G114" t="s">
        <v>41</v>
      </c>
      <c r="H114" t="s">
        <v>18</v>
      </c>
      <c r="I114">
        <v>9</v>
      </c>
      <c r="J114" t="s">
        <v>19</v>
      </c>
      <c r="K114">
        <v>41334.26</v>
      </c>
    </row>
    <row r="115" spans="1:11">
      <c r="A115" t="s">
        <v>27</v>
      </c>
      <c r="B115" t="s">
        <v>12</v>
      </c>
      <c r="C115" t="s">
        <v>330</v>
      </c>
      <c r="D115" t="s">
        <v>337</v>
      </c>
      <c r="E115" t="s">
        <v>72</v>
      </c>
      <c r="F115" t="s">
        <v>46</v>
      </c>
      <c r="G115" t="s">
        <v>96</v>
      </c>
      <c r="H115" t="s">
        <v>42</v>
      </c>
      <c r="I115">
        <v>12</v>
      </c>
      <c r="J115" t="s">
        <v>19</v>
      </c>
      <c r="K115">
        <v>8833.83</v>
      </c>
    </row>
    <row r="116" spans="1:11">
      <c r="A116" t="s">
        <v>55</v>
      </c>
      <c r="B116" t="s">
        <v>21</v>
      </c>
      <c r="C116" t="s">
        <v>338</v>
      </c>
      <c r="D116" t="s">
        <v>339</v>
      </c>
      <c r="E116" t="s">
        <v>340</v>
      </c>
      <c r="F116" t="s">
        <v>40</v>
      </c>
      <c r="G116" t="s">
        <v>96</v>
      </c>
      <c r="H116" t="s">
        <v>18</v>
      </c>
      <c r="I116">
        <v>7</v>
      </c>
      <c r="J116" t="s">
        <v>26</v>
      </c>
      <c r="K116">
        <v>35193.97</v>
      </c>
    </row>
    <row r="117" spans="1:11">
      <c r="A117" t="s">
        <v>20</v>
      </c>
      <c r="B117" t="s">
        <v>28</v>
      </c>
      <c r="C117" t="s">
        <v>341</v>
      </c>
      <c r="D117" t="s">
        <v>342</v>
      </c>
      <c r="E117" t="s">
        <v>343</v>
      </c>
      <c r="F117" t="s">
        <v>40</v>
      </c>
      <c r="G117" t="s">
        <v>41</v>
      </c>
      <c r="H117" t="s">
        <v>18</v>
      </c>
      <c r="I117">
        <v>7</v>
      </c>
      <c r="J117" t="s">
        <v>26</v>
      </c>
      <c r="K117">
        <v>28246.880000000001</v>
      </c>
    </row>
    <row r="118" spans="1:11">
      <c r="A118" t="s">
        <v>86</v>
      </c>
      <c r="B118" t="s">
        <v>51</v>
      </c>
      <c r="C118" t="s">
        <v>344</v>
      </c>
      <c r="D118" t="s">
        <v>345</v>
      </c>
      <c r="E118" t="s">
        <v>298</v>
      </c>
      <c r="F118" t="s">
        <v>40</v>
      </c>
      <c r="G118" t="s">
        <v>17</v>
      </c>
      <c r="H118" t="s">
        <v>18</v>
      </c>
      <c r="I118">
        <v>12</v>
      </c>
      <c r="J118" t="s">
        <v>26</v>
      </c>
      <c r="K118">
        <v>15225.99</v>
      </c>
    </row>
    <row r="119" spans="1:11">
      <c r="A119" t="s">
        <v>67</v>
      </c>
      <c r="B119" t="s">
        <v>28</v>
      </c>
      <c r="C119" t="s">
        <v>338</v>
      </c>
      <c r="D119" t="s">
        <v>346</v>
      </c>
      <c r="E119" t="s">
        <v>347</v>
      </c>
      <c r="F119" t="s">
        <v>40</v>
      </c>
      <c r="G119" t="s">
        <v>17</v>
      </c>
      <c r="H119" t="s">
        <v>18</v>
      </c>
      <c r="I119">
        <v>24</v>
      </c>
      <c r="J119" t="s">
        <v>26</v>
      </c>
      <c r="K119">
        <v>34508.79</v>
      </c>
    </row>
    <row r="120" spans="1:11">
      <c r="A120" t="s">
        <v>27</v>
      </c>
      <c r="B120" t="s">
        <v>93</v>
      </c>
      <c r="C120" t="s">
        <v>348</v>
      </c>
      <c r="D120" t="s">
        <v>349</v>
      </c>
      <c r="E120" t="s">
        <v>153</v>
      </c>
      <c r="F120" t="s">
        <v>46</v>
      </c>
      <c r="G120" t="s">
        <v>41</v>
      </c>
      <c r="H120" t="s">
        <v>42</v>
      </c>
      <c r="I120">
        <v>2</v>
      </c>
      <c r="J120" t="s">
        <v>26</v>
      </c>
      <c r="K120">
        <v>27796.81</v>
      </c>
    </row>
    <row r="121" spans="1:11">
      <c r="A121" t="s">
        <v>67</v>
      </c>
      <c r="B121" t="s">
        <v>21</v>
      </c>
      <c r="C121" t="s">
        <v>350</v>
      </c>
      <c r="D121" t="s">
        <v>351</v>
      </c>
      <c r="E121" t="s">
        <v>212</v>
      </c>
      <c r="F121" t="s">
        <v>50</v>
      </c>
      <c r="G121" t="s">
        <v>96</v>
      </c>
      <c r="H121" t="s">
        <v>42</v>
      </c>
      <c r="I121">
        <v>8</v>
      </c>
      <c r="J121" t="s">
        <v>26</v>
      </c>
      <c r="K121">
        <v>37786.5</v>
      </c>
    </row>
  </sheetData>
  <conditionalFormatting sqref="G1 G122:G1048576">
    <cfRule type="containsText" dxfId="12" priority="6" operator="containsText" text="Pending">
      <formula>NOT(ISERROR(SEARCH("Pending",G1)))</formula>
    </cfRule>
  </conditionalFormatting>
  <conditionalFormatting sqref="G1 G122:G1048576">
    <cfRule type="containsText" dxfId="11" priority="5" operator="containsText" text="Approved">
      <formula>NOT(ISERROR(SEARCH("Approved",G1)))</formula>
    </cfRule>
  </conditionalFormatting>
  <conditionalFormatting sqref="G1 G122:G1048576">
    <cfRule type="containsText" dxfId="10" priority="4" operator="containsText" text="Rejected">
      <formula>NOT(ISERROR(SEARCH("Rejected",G1)))</formula>
    </cfRule>
  </conditionalFormatting>
  <conditionalFormatting sqref="G2:G121">
    <cfRule type="containsText" dxfId="9" priority="3" operator="containsText" text="Rejected">
      <formula>NOT(ISERROR(SEARCH("Rejected",G2)))</formula>
    </cfRule>
  </conditionalFormatting>
  <conditionalFormatting sqref="G2:G121">
    <cfRule type="containsText" dxfId="8" priority="2" operator="containsText" text="Approved">
      <formula>NOT(ISERROR(SEARCH("Approved",G2)))</formula>
    </cfRule>
  </conditionalFormatting>
  <conditionalFormatting sqref="G2:G121">
    <cfRule type="containsText" dxfId="7" priority="1" operator="containsText" text="Pending">
      <formula>NOT(ISERROR(SEARCH("Pending",G2)))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5"/>
  <sheetData>
    <row r="1" spans="1:7">
      <c r="A1" s="1" t="s">
        <v>1</v>
      </c>
      <c r="B1" s="1" t="s">
        <v>352</v>
      </c>
      <c r="C1" s="1" t="s">
        <v>41</v>
      </c>
      <c r="D1" s="1" t="s">
        <v>17</v>
      </c>
      <c r="E1" s="1" t="s">
        <v>96</v>
      </c>
      <c r="F1" s="1" t="s">
        <v>353</v>
      </c>
      <c r="G1" s="1" t="s">
        <v>354</v>
      </c>
    </row>
    <row r="2" spans="1:7">
      <c r="A2" t="s">
        <v>28</v>
      </c>
      <c r="B2">
        <v>27</v>
      </c>
      <c r="C2">
        <v>19</v>
      </c>
      <c r="D2">
        <v>7</v>
      </c>
      <c r="E2">
        <v>1</v>
      </c>
      <c r="F2">
        <v>11.59259259259259</v>
      </c>
      <c r="G2">
        <v>26177.535555555551</v>
      </c>
    </row>
    <row r="3" spans="1:7">
      <c r="A3" t="s">
        <v>51</v>
      </c>
      <c r="B3">
        <v>30</v>
      </c>
      <c r="C3">
        <v>20</v>
      </c>
      <c r="D3">
        <v>9</v>
      </c>
      <c r="E3">
        <v>1</v>
      </c>
      <c r="F3">
        <v>11.83333333333333</v>
      </c>
      <c r="G3">
        <v>27026.37833333333</v>
      </c>
    </row>
    <row r="4" spans="1:7">
      <c r="A4" t="s">
        <v>12</v>
      </c>
      <c r="B4">
        <v>20</v>
      </c>
      <c r="C4">
        <v>12</v>
      </c>
      <c r="D4">
        <v>6</v>
      </c>
      <c r="E4">
        <v>2</v>
      </c>
      <c r="F4">
        <v>11.05</v>
      </c>
      <c r="G4">
        <v>25253.344000000001</v>
      </c>
    </row>
    <row r="5" spans="1:7">
      <c r="A5" t="s">
        <v>93</v>
      </c>
      <c r="B5">
        <v>19</v>
      </c>
      <c r="C5">
        <v>9</v>
      </c>
      <c r="D5">
        <v>8</v>
      </c>
      <c r="E5">
        <v>2</v>
      </c>
      <c r="F5">
        <v>10.315789473684211</v>
      </c>
      <c r="G5">
        <v>29139.702631578941</v>
      </c>
    </row>
    <row r="6" spans="1:7">
      <c r="A6" t="s">
        <v>21</v>
      </c>
      <c r="B6">
        <v>24</v>
      </c>
      <c r="C6">
        <v>13</v>
      </c>
      <c r="D6">
        <v>8</v>
      </c>
      <c r="E6">
        <v>3</v>
      </c>
      <c r="F6">
        <v>10.25</v>
      </c>
      <c r="G6">
        <v>24903.89208333334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/>
  </sheetViews>
  <sheetFormatPr defaultRowHeight="15"/>
  <sheetData>
    <row r="1" spans="1:6">
      <c r="A1" s="1" t="s">
        <v>0</v>
      </c>
      <c r="B1" s="1" t="s">
        <v>352</v>
      </c>
      <c r="C1" s="1" t="s">
        <v>41</v>
      </c>
      <c r="D1" s="1" t="s">
        <v>17</v>
      </c>
      <c r="E1" s="1" t="s">
        <v>353</v>
      </c>
      <c r="F1" s="1" t="s">
        <v>354</v>
      </c>
    </row>
    <row r="2" spans="1:6">
      <c r="A2" t="s">
        <v>67</v>
      </c>
      <c r="B2">
        <v>15</v>
      </c>
      <c r="C2">
        <v>9</v>
      </c>
      <c r="D2">
        <v>5</v>
      </c>
      <c r="E2">
        <v>10.4</v>
      </c>
      <c r="F2">
        <v>27431.62533333333</v>
      </c>
    </row>
    <row r="3" spans="1:6">
      <c r="A3" t="s">
        <v>20</v>
      </c>
      <c r="B3">
        <v>15</v>
      </c>
      <c r="C3">
        <v>10</v>
      </c>
      <c r="D3">
        <v>5</v>
      </c>
      <c r="E3">
        <v>13.4</v>
      </c>
      <c r="F3">
        <v>30876.79</v>
      </c>
    </row>
    <row r="4" spans="1:6">
      <c r="A4" t="s">
        <v>55</v>
      </c>
      <c r="B4">
        <v>14</v>
      </c>
      <c r="C4">
        <v>9</v>
      </c>
      <c r="D4">
        <v>3</v>
      </c>
      <c r="E4">
        <v>8.6428571428571423</v>
      </c>
      <c r="F4">
        <v>27112.13571428572</v>
      </c>
    </row>
    <row r="5" spans="1:6">
      <c r="A5" t="s">
        <v>86</v>
      </c>
      <c r="B5">
        <v>14</v>
      </c>
      <c r="C5">
        <v>4</v>
      </c>
      <c r="D5">
        <v>9</v>
      </c>
      <c r="E5">
        <v>12</v>
      </c>
      <c r="F5">
        <v>31058.19928571428</v>
      </c>
    </row>
    <row r="6" spans="1:6">
      <c r="A6" t="s">
        <v>36</v>
      </c>
      <c r="B6">
        <v>13</v>
      </c>
      <c r="C6">
        <v>12</v>
      </c>
      <c r="D6">
        <v>1</v>
      </c>
      <c r="E6">
        <v>10.92307692307692</v>
      </c>
      <c r="F6">
        <v>28913.925384615381</v>
      </c>
    </row>
    <row r="7" spans="1:6">
      <c r="A7" t="s">
        <v>11</v>
      </c>
      <c r="B7">
        <v>11</v>
      </c>
      <c r="C7">
        <v>6</v>
      </c>
      <c r="D7">
        <v>4</v>
      </c>
      <c r="E7">
        <v>11.18181818181818</v>
      </c>
      <c r="F7">
        <v>24901.34</v>
      </c>
    </row>
    <row r="8" spans="1:6">
      <c r="A8" t="s">
        <v>27</v>
      </c>
      <c r="B8">
        <v>11</v>
      </c>
      <c r="C8">
        <v>5</v>
      </c>
      <c r="D8">
        <v>5</v>
      </c>
      <c r="E8">
        <v>8.9090909090909083</v>
      </c>
      <c r="F8">
        <v>20901.680909090908</v>
      </c>
    </row>
    <row r="9" spans="1:6">
      <c r="A9" t="s">
        <v>82</v>
      </c>
      <c r="B9">
        <v>10</v>
      </c>
      <c r="C9">
        <v>7</v>
      </c>
      <c r="D9">
        <v>1</v>
      </c>
      <c r="E9">
        <v>11.1</v>
      </c>
      <c r="F9">
        <v>20691.714</v>
      </c>
    </row>
    <row r="10" spans="1:6">
      <c r="A10" t="s">
        <v>62</v>
      </c>
      <c r="B10">
        <v>9</v>
      </c>
      <c r="C10">
        <v>6</v>
      </c>
      <c r="D10">
        <v>3</v>
      </c>
      <c r="E10">
        <v>11.22222222222222</v>
      </c>
      <c r="F10">
        <v>20053.38555555556</v>
      </c>
    </row>
    <row r="11" spans="1:6">
      <c r="A11" t="s">
        <v>32</v>
      </c>
      <c r="B11">
        <v>8</v>
      </c>
      <c r="C11">
        <v>5</v>
      </c>
      <c r="D11">
        <v>2</v>
      </c>
      <c r="E11">
        <v>13.75</v>
      </c>
      <c r="F11">
        <v>27234.5825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874E-6156-4B09-95F9-98D97CC618B3}">
  <dimension ref="A2:L52"/>
  <sheetViews>
    <sheetView workbookViewId="0">
      <selection activeCell="F42" sqref="F42"/>
    </sheetView>
  </sheetViews>
  <sheetFormatPr defaultRowHeight="15"/>
  <cols>
    <col min="1" max="1" width="17.140625" customWidth="1"/>
    <col min="2" max="2" width="18.140625" bestFit="1" customWidth="1"/>
    <col min="3" max="3" width="8" customWidth="1"/>
    <col min="4" max="4" width="8.5703125" customWidth="1"/>
    <col min="5" max="5" width="11.42578125" bestFit="1" customWidth="1"/>
    <col min="6" max="6" width="19.7109375" bestFit="1" customWidth="1"/>
    <col min="7" max="7" width="17.140625" bestFit="1" customWidth="1"/>
    <col min="8" max="8" width="19.7109375" bestFit="1" customWidth="1"/>
    <col min="9" max="9" width="8.5703125" bestFit="1" customWidth="1"/>
    <col min="10" max="10" width="11.42578125" bestFit="1" customWidth="1"/>
    <col min="11" max="11" width="23.7109375" bestFit="1" customWidth="1"/>
    <col min="12" max="12" width="17.140625" bestFit="1" customWidth="1"/>
    <col min="13" max="13" width="18.7109375" bestFit="1" customWidth="1"/>
  </cols>
  <sheetData>
    <row r="2" spans="1:12">
      <c r="A2" t="s">
        <v>355</v>
      </c>
      <c r="K2" t="s">
        <v>356</v>
      </c>
    </row>
    <row r="3" spans="1:12">
      <c r="A3" s="4" t="s">
        <v>0</v>
      </c>
      <c r="B3" t="s">
        <v>357</v>
      </c>
      <c r="D3" s="4" t="s">
        <v>0</v>
      </c>
      <c r="E3" t="s">
        <v>358</v>
      </c>
      <c r="G3" s="4" t="s">
        <v>0</v>
      </c>
      <c r="H3" t="s">
        <v>359</v>
      </c>
      <c r="K3" s="4" t="s">
        <v>0</v>
      </c>
      <c r="L3" t="s">
        <v>357</v>
      </c>
    </row>
    <row r="4" spans="1:12">
      <c r="A4" t="s">
        <v>82</v>
      </c>
      <c r="B4" s="5">
        <v>10</v>
      </c>
      <c r="D4" t="s">
        <v>82</v>
      </c>
      <c r="E4" s="5">
        <v>20691.714</v>
      </c>
      <c r="G4" t="s">
        <v>82</v>
      </c>
      <c r="H4" s="5">
        <v>11.1</v>
      </c>
      <c r="K4" t="s">
        <v>20</v>
      </c>
      <c r="L4" s="5">
        <v>15</v>
      </c>
    </row>
    <row r="5" spans="1:12">
      <c r="A5" t="s">
        <v>11</v>
      </c>
      <c r="B5" s="5">
        <v>11</v>
      </c>
      <c r="D5" t="s">
        <v>11</v>
      </c>
      <c r="E5" s="5">
        <v>24901.34</v>
      </c>
      <c r="G5" t="s">
        <v>11</v>
      </c>
      <c r="H5" s="5">
        <v>11.181818181818182</v>
      </c>
      <c r="K5" t="s">
        <v>67</v>
      </c>
      <c r="L5" s="5">
        <v>15</v>
      </c>
    </row>
    <row r="6" spans="1:12">
      <c r="A6" t="s">
        <v>32</v>
      </c>
      <c r="B6" s="5">
        <v>8</v>
      </c>
      <c r="D6" t="s">
        <v>32</v>
      </c>
      <c r="E6" s="5">
        <v>27234.5825</v>
      </c>
      <c r="G6" t="s">
        <v>32</v>
      </c>
      <c r="H6" s="5">
        <v>13.75</v>
      </c>
      <c r="K6" t="s">
        <v>86</v>
      </c>
      <c r="L6" s="5">
        <v>14</v>
      </c>
    </row>
    <row r="7" spans="1:12">
      <c r="A7" t="s">
        <v>27</v>
      </c>
      <c r="B7" s="5">
        <v>11</v>
      </c>
      <c r="D7" t="s">
        <v>27</v>
      </c>
      <c r="E7" s="5">
        <v>20901.680909090908</v>
      </c>
      <c r="G7" t="s">
        <v>27</v>
      </c>
      <c r="H7" s="5">
        <v>8.9090909090909083</v>
      </c>
      <c r="K7" t="s">
        <v>55</v>
      </c>
      <c r="L7" s="5">
        <v>14</v>
      </c>
    </row>
    <row r="8" spans="1:12">
      <c r="A8" t="s">
        <v>55</v>
      </c>
      <c r="B8" s="5">
        <v>14</v>
      </c>
      <c r="D8" t="s">
        <v>55</v>
      </c>
      <c r="E8" s="5">
        <v>27112.135714285709</v>
      </c>
      <c r="G8" t="s">
        <v>55</v>
      </c>
      <c r="H8" s="5">
        <v>8.6428571428571423</v>
      </c>
      <c r="K8" t="s">
        <v>36</v>
      </c>
      <c r="L8" s="5">
        <v>13</v>
      </c>
    </row>
    <row r="9" spans="1:12">
      <c r="A9" t="s">
        <v>62</v>
      </c>
      <c r="B9" s="5">
        <v>9</v>
      </c>
      <c r="D9" t="s">
        <v>62</v>
      </c>
      <c r="E9" s="5">
        <v>20053.385555555556</v>
      </c>
      <c r="G9" t="s">
        <v>62</v>
      </c>
      <c r="H9" s="5">
        <v>11.222222222222221</v>
      </c>
      <c r="K9" t="s">
        <v>360</v>
      </c>
      <c r="L9" s="5">
        <v>71</v>
      </c>
    </row>
    <row r="10" spans="1:12">
      <c r="A10" t="s">
        <v>36</v>
      </c>
      <c r="B10" s="5">
        <v>13</v>
      </c>
      <c r="D10" t="s">
        <v>36</v>
      </c>
      <c r="E10" s="5">
        <v>28913.925384615388</v>
      </c>
      <c r="G10" t="s">
        <v>36</v>
      </c>
      <c r="H10" s="5">
        <v>10.923076923076923</v>
      </c>
    </row>
    <row r="11" spans="1:12">
      <c r="A11" t="s">
        <v>67</v>
      </c>
      <c r="B11" s="5">
        <v>15</v>
      </c>
      <c r="D11" t="s">
        <v>67</v>
      </c>
      <c r="E11" s="5">
        <v>27431.625333333333</v>
      </c>
      <c r="G11" t="s">
        <v>67</v>
      </c>
      <c r="H11" s="5">
        <v>10.4</v>
      </c>
    </row>
    <row r="12" spans="1:12">
      <c r="A12" t="s">
        <v>86</v>
      </c>
      <c r="B12" s="5">
        <v>14</v>
      </c>
      <c r="D12" t="s">
        <v>86</v>
      </c>
      <c r="E12" s="5">
        <v>31058.199285714287</v>
      </c>
      <c r="G12" t="s">
        <v>86</v>
      </c>
      <c r="H12" s="5">
        <v>12</v>
      </c>
    </row>
    <row r="13" spans="1:12">
      <c r="A13" t="s">
        <v>20</v>
      </c>
      <c r="B13" s="5">
        <v>15</v>
      </c>
      <c r="D13" t="s">
        <v>20</v>
      </c>
      <c r="E13" s="5">
        <v>30876.789999999997</v>
      </c>
      <c r="G13" t="s">
        <v>20</v>
      </c>
      <c r="H13" s="5">
        <v>13.4</v>
      </c>
    </row>
    <row r="14" spans="1:12">
      <c r="A14" t="s">
        <v>360</v>
      </c>
      <c r="B14" s="5">
        <v>120</v>
      </c>
      <c r="D14" t="s">
        <v>360</v>
      </c>
      <c r="E14" s="5">
        <v>26449.995416666665</v>
      </c>
      <c r="G14" t="s">
        <v>360</v>
      </c>
      <c r="H14" s="5">
        <v>11.091666666666667</v>
      </c>
    </row>
    <row r="16" spans="1:12" ht="30.75">
      <c r="A16" s="2" t="s">
        <v>361</v>
      </c>
    </row>
    <row r="17" spans="1:5">
      <c r="A17" s="4" t="s">
        <v>7</v>
      </c>
      <c r="B17" t="s">
        <v>359</v>
      </c>
    </row>
    <row r="18" spans="1:5">
      <c r="A18" t="s">
        <v>18</v>
      </c>
      <c r="B18" s="5">
        <v>11.454545454545455</v>
      </c>
    </row>
    <row r="19" spans="1:5">
      <c r="A19" t="s">
        <v>42</v>
      </c>
      <c r="B19" s="5">
        <v>10.382352941176471</v>
      </c>
    </row>
    <row r="20" spans="1:5">
      <c r="A20" t="s">
        <v>66</v>
      </c>
      <c r="B20" s="5">
        <v>10.666666666666666</v>
      </c>
    </row>
    <row r="21" spans="1:5">
      <c r="A21" t="s">
        <v>360</v>
      </c>
      <c r="B21" s="5">
        <v>11.091666666666667</v>
      </c>
    </row>
    <row r="24" spans="1:5" ht="30.75">
      <c r="A24" s="2" t="s">
        <v>362</v>
      </c>
    </row>
    <row r="25" spans="1:5">
      <c r="A25" s="6" t="s">
        <v>363</v>
      </c>
      <c r="B25" s="4" t="s">
        <v>6</v>
      </c>
    </row>
    <row r="26" spans="1:5">
      <c r="A26" s="4" t="s">
        <v>0</v>
      </c>
      <c r="B26" t="s">
        <v>41</v>
      </c>
      <c r="C26" t="s">
        <v>17</v>
      </c>
      <c r="D26" t="s">
        <v>96</v>
      </c>
      <c r="E26" t="s">
        <v>360</v>
      </c>
    </row>
    <row r="27" spans="1:5">
      <c r="A27" t="s">
        <v>20</v>
      </c>
      <c r="B27" s="5">
        <v>10</v>
      </c>
      <c r="C27" s="5">
        <v>5</v>
      </c>
      <c r="D27" s="5"/>
      <c r="E27" s="5">
        <v>15</v>
      </c>
    </row>
    <row r="28" spans="1:5">
      <c r="A28" t="s">
        <v>86</v>
      </c>
      <c r="B28" s="5">
        <v>4</v>
      </c>
      <c r="C28" s="5">
        <v>9</v>
      </c>
      <c r="D28" s="5">
        <v>1</v>
      </c>
      <c r="E28" s="5">
        <v>14</v>
      </c>
    </row>
    <row r="29" spans="1:5">
      <c r="A29" t="s">
        <v>67</v>
      </c>
      <c r="B29" s="5">
        <v>9</v>
      </c>
      <c r="C29" s="5">
        <v>5</v>
      </c>
      <c r="D29" s="5">
        <v>1</v>
      </c>
      <c r="E29" s="5">
        <v>15</v>
      </c>
    </row>
    <row r="30" spans="1:5">
      <c r="A30" t="s">
        <v>36</v>
      </c>
      <c r="B30" s="5">
        <v>12</v>
      </c>
      <c r="C30" s="5">
        <v>1</v>
      </c>
      <c r="D30" s="5"/>
      <c r="E30" s="5">
        <v>13</v>
      </c>
    </row>
    <row r="31" spans="1:5">
      <c r="A31" t="s">
        <v>62</v>
      </c>
      <c r="B31" s="5">
        <v>6</v>
      </c>
      <c r="C31" s="5">
        <v>3</v>
      </c>
      <c r="D31" s="5"/>
      <c r="E31" s="5">
        <v>9</v>
      </c>
    </row>
    <row r="32" spans="1:5">
      <c r="A32" t="s">
        <v>55</v>
      </c>
      <c r="B32" s="5">
        <v>9</v>
      </c>
      <c r="C32" s="5">
        <v>3</v>
      </c>
      <c r="D32" s="5">
        <v>2</v>
      </c>
      <c r="E32" s="5">
        <v>14</v>
      </c>
    </row>
    <row r="33" spans="1:5">
      <c r="A33" t="s">
        <v>27</v>
      </c>
      <c r="B33" s="5">
        <v>5</v>
      </c>
      <c r="C33" s="5">
        <v>5</v>
      </c>
      <c r="D33" s="5">
        <v>1</v>
      </c>
      <c r="E33" s="5">
        <v>11</v>
      </c>
    </row>
    <row r="34" spans="1:5">
      <c r="A34" t="s">
        <v>32</v>
      </c>
      <c r="B34" s="5">
        <v>5</v>
      </c>
      <c r="C34" s="5">
        <v>2</v>
      </c>
      <c r="D34" s="5">
        <v>1</v>
      </c>
      <c r="E34" s="5">
        <v>8</v>
      </c>
    </row>
    <row r="35" spans="1:5">
      <c r="A35" t="s">
        <v>11</v>
      </c>
      <c r="B35" s="5">
        <v>6</v>
      </c>
      <c r="C35" s="5">
        <v>4</v>
      </c>
      <c r="D35" s="5">
        <v>1</v>
      </c>
      <c r="E35" s="5">
        <v>11</v>
      </c>
    </row>
    <row r="36" spans="1:5">
      <c r="A36" t="s">
        <v>82</v>
      </c>
      <c r="B36" s="5">
        <v>7</v>
      </c>
      <c r="C36" s="5">
        <v>1</v>
      </c>
      <c r="D36" s="5">
        <v>2</v>
      </c>
      <c r="E36" s="5">
        <v>10</v>
      </c>
    </row>
    <row r="37" spans="1:5">
      <c r="A37" t="s">
        <v>360</v>
      </c>
      <c r="B37" s="5">
        <v>73</v>
      </c>
      <c r="C37" s="5">
        <v>38</v>
      </c>
      <c r="D37" s="5">
        <v>9</v>
      </c>
      <c r="E37" s="5">
        <v>120</v>
      </c>
    </row>
    <row r="40" spans="1:5">
      <c r="A40" s="4" t="s">
        <v>357</v>
      </c>
      <c r="B40" s="4" t="s">
        <v>9</v>
      </c>
    </row>
    <row r="41" spans="1:5">
      <c r="A41" s="4" t="s">
        <v>0</v>
      </c>
      <c r="B41" t="s">
        <v>26</v>
      </c>
      <c r="C41" t="s">
        <v>19</v>
      </c>
      <c r="D41" t="s">
        <v>360</v>
      </c>
    </row>
    <row r="42" spans="1:5">
      <c r="A42" t="s">
        <v>82</v>
      </c>
      <c r="B42" s="7">
        <v>0.8</v>
      </c>
      <c r="C42" s="7">
        <v>0.2</v>
      </c>
      <c r="D42" s="7">
        <v>1</v>
      </c>
    </row>
    <row r="43" spans="1:5">
      <c r="A43" t="s">
        <v>11</v>
      </c>
      <c r="B43" s="7">
        <v>0.72727272727272729</v>
      </c>
      <c r="C43" s="7">
        <v>0.27272727272727271</v>
      </c>
      <c r="D43" s="7">
        <v>1</v>
      </c>
    </row>
    <row r="44" spans="1:5">
      <c r="A44" t="s">
        <v>32</v>
      </c>
      <c r="B44" s="7">
        <v>0.875</v>
      </c>
      <c r="C44" s="7">
        <v>0.125</v>
      </c>
      <c r="D44" s="7">
        <v>1</v>
      </c>
    </row>
    <row r="45" spans="1:5">
      <c r="A45" t="s">
        <v>27</v>
      </c>
      <c r="B45" s="7">
        <v>0.72727272727272729</v>
      </c>
      <c r="C45" s="7">
        <v>0.27272727272727271</v>
      </c>
      <c r="D45" s="7">
        <v>1</v>
      </c>
    </row>
    <row r="46" spans="1:5">
      <c r="A46" t="s">
        <v>55</v>
      </c>
      <c r="B46" s="7">
        <v>0.7142857142857143</v>
      </c>
      <c r="C46" s="7">
        <v>0.2857142857142857</v>
      </c>
      <c r="D46" s="7">
        <v>1</v>
      </c>
    </row>
    <row r="47" spans="1:5">
      <c r="A47" t="s">
        <v>62</v>
      </c>
      <c r="B47" s="7">
        <v>0.77777777777777779</v>
      </c>
      <c r="C47" s="7">
        <v>0.22222222222222221</v>
      </c>
      <c r="D47" s="7">
        <v>1</v>
      </c>
    </row>
    <row r="48" spans="1:5">
      <c r="A48" t="s">
        <v>36</v>
      </c>
      <c r="B48" s="7">
        <v>0.76923076923076927</v>
      </c>
      <c r="C48" s="7">
        <v>0.23076923076923078</v>
      </c>
      <c r="D48" s="7">
        <v>1</v>
      </c>
    </row>
    <row r="49" spans="1:4">
      <c r="A49" t="s">
        <v>67</v>
      </c>
      <c r="B49" s="7">
        <v>0.8666666666666667</v>
      </c>
      <c r="C49" s="7">
        <v>0.13333333333333333</v>
      </c>
      <c r="D49" s="7">
        <v>1</v>
      </c>
    </row>
    <row r="50" spans="1:4">
      <c r="A50" t="s">
        <v>86</v>
      </c>
      <c r="B50" s="7">
        <v>0.8571428571428571</v>
      </c>
      <c r="C50" s="7">
        <v>0.14285714285714285</v>
      </c>
      <c r="D50" s="7">
        <v>1</v>
      </c>
    </row>
    <row r="51" spans="1:4">
      <c r="A51" t="s">
        <v>20</v>
      </c>
      <c r="B51" s="7">
        <v>0.93333333333333335</v>
      </c>
      <c r="C51" s="7">
        <v>6.6666666666666666E-2</v>
      </c>
      <c r="D51" s="7">
        <v>1</v>
      </c>
    </row>
    <row r="52" spans="1:4">
      <c r="A52" t="s">
        <v>360</v>
      </c>
      <c r="B52" s="7">
        <v>0.80833333333333335</v>
      </c>
      <c r="C52" s="7">
        <v>0.19166666666666668</v>
      </c>
      <c r="D52" s="7">
        <v>1</v>
      </c>
    </row>
  </sheetData>
  <conditionalFormatting sqref="A4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1C52A-0D69-462D-A733-6E37D4A33638}">
  <dimension ref="B1:D12"/>
  <sheetViews>
    <sheetView workbookViewId="0">
      <selection activeCell="I12" sqref="I12"/>
    </sheetView>
  </sheetViews>
  <sheetFormatPr defaultRowHeight="15"/>
  <cols>
    <col min="2" max="2" width="17.85546875" bestFit="1" customWidth="1"/>
    <col min="5" max="5" width="13.7109375" bestFit="1" customWidth="1"/>
  </cols>
  <sheetData>
    <row r="1" spans="2:4">
      <c r="B1" t="s">
        <v>9</v>
      </c>
    </row>
    <row r="2" spans="2:4">
      <c r="B2" s="8" t="s">
        <v>0</v>
      </c>
      <c r="C2" s="8" t="s">
        <v>26</v>
      </c>
      <c r="D2" s="8" t="s">
        <v>19</v>
      </c>
    </row>
    <row r="3" spans="2:4">
      <c r="B3" t="s">
        <v>82</v>
      </c>
      <c r="C3" s="7">
        <v>0.8</v>
      </c>
      <c r="D3" s="7">
        <v>0.2</v>
      </c>
    </row>
    <row r="4" spans="2:4">
      <c r="B4" t="s">
        <v>11</v>
      </c>
      <c r="C4" s="7">
        <v>0.72727272727272729</v>
      </c>
      <c r="D4" s="7">
        <v>0.27272727272727271</v>
      </c>
    </row>
    <row r="5" spans="2:4">
      <c r="B5" t="s">
        <v>32</v>
      </c>
      <c r="C5" s="7">
        <v>0.875</v>
      </c>
      <c r="D5" s="7">
        <v>0.125</v>
      </c>
    </row>
    <row r="6" spans="2:4">
      <c r="B6" t="s">
        <v>27</v>
      </c>
      <c r="C6" s="7">
        <v>0.72727272727272729</v>
      </c>
      <c r="D6" s="7">
        <v>0.27272727272727271</v>
      </c>
    </row>
    <row r="7" spans="2:4">
      <c r="B7" t="s">
        <v>55</v>
      </c>
      <c r="C7" s="7">
        <v>0.7142857142857143</v>
      </c>
      <c r="D7" s="7">
        <v>0.2857142857142857</v>
      </c>
    </row>
    <row r="8" spans="2:4">
      <c r="B8" t="s">
        <v>62</v>
      </c>
      <c r="C8" s="7">
        <v>0.77777777777777779</v>
      </c>
      <c r="D8" s="7">
        <v>0.22222222222222221</v>
      </c>
    </row>
    <row r="9" spans="2:4">
      <c r="B9" t="s">
        <v>36</v>
      </c>
      <c r="C9" s="7">
        <v>0.76923076923076927</v>
      </c>
      <c r="D9" s="7">
        <v>0.23076923076923078</v>
      </c>
    </row>
    <row r="10" spans="2:4">
      <c r="B10" t="s">
        <v>67</v>
      </c>
      <c r="C10" s="7">
        <v>0.8666666666666667</v>
      </c>
      <c r="D10" s="7">
        <v>0.13333333333333333</v>
      </c>
    </row>
    <row r="11" spans="2:4">
      <c r="B11" t="s">
        <v>86</v>
      </c>
      <c r="C11" s="7">
        <v>0.8571428571428571</v>
      </c>
      <c r="D11" s="7">
        <v>0.14285714285714285</v>
      </c>
    </row>
    <row r="12" spans="2:4">
      <c r="B12" t="s">
        <v>20</v>
      </c>
      <c r="C12" s="7">
        <v>0.93333333333333335</v>
      </c>
      <c r="D12" s="7">
        <v>6.6666666666666666E-2</v>
      </c>
    </row>
  </sheetData>
  <conditionalFormatting sqref="B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1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C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tabSelected="1" workbookViewId="0">
      <selection activeCell="C11" sqref="C11"/>
    </sheetView>
  </sheetViews>
  <sheetFormatPr defaultRowHeight="15"/>
  <cols>
    <col min="1" max="1" width="36" customWidth="1"/>
    <col min="2" max="2" width="36.5703125" bestFit="1" customWidth="1"/>
    <col min="3" max="3" width="27.7109375" customWidth="1"/>
    <col min="4" max="4" width="28.140625" bestFit="1" customWidth="1"/>
  </cols>
  <sheetData>
    <row r="1" spans="1:3">
      <c r="A1" t="s">
        <v>364</v>
      </c>
    </row>
    <row r="3" spans="1:3">
      <c r="A3" s="9" t="s">
        <v>365</v>
      </c>
      <c r="B3" s="9">
        <f>SUBTOTAL(3, RawData!D2:D121)</f>
        <v>120</v>
      </c>
    </row>
    <row r="4" spans="1:3">
      <c r="A4" s="9" t="s">
        <v>41</v>
      </c>
      <c r="B4" s="10">
        <f>COUNTIF(RawData!G:G, "Approved")</f>
        <v>73</v>
      </c>
      <c r="C4" s="2"/>
    </row>
    <row r="5" spans="1:3">
      <c r="A5" s="9" t="s">
        <v>17</v>
      </c>
      <c r="B5" s="10">
        <f>COUNTIF(RawData!G:G, "Pending")</f>
        <v>38</v>
      </c>
    </row>
    <row r="6" spans="1:3">
      <c r="A6" s="9" t="s">
        <v>96</v>
      </c>
      <c r="B6" s="9">
        <v>9</v>
      </c>
    </row>
    <row r="7" spans="1:3">
      <c r="A7" s="9" t="s">
        <v>366</v>
      </c>
      <c r="B7" s="9">
        <f>COUNTIF(RawData!H:H, "High")</f>
        <v>9</v>
      </c>
    </row>
    <row r="8" spans="1:3">
      <c r="A8" s="9" t="s">
        <v>9</v>
      </c>
      <c r="B8" s="9">
        <f>COUNTIF(RawData!J2:J121, "Yes")</f>
        <v>23</v>
      </c>
    </row>
    <row r="9" spans="1:3">
      <c r="A9" s="9" t="s">
        <v>359</v>
      </c>
      <c r="B9" s="11">
        <f>ROUND(AVERAGE(RawData!I2:I121),1)</f>
        <v>11.1</v>
      </c>
    </row>
    <row r="10" spans="1:3">
      <c r="A10" s="9" t="s">
        <v>358</v>
      </c>
      <c r="B10" s="12">
        <f>ROUND(AVERAGE(RawData!K2:K121),0)</f>
        <v>26450</v>
      </c>
    </row>
    <row r="12" spans="1:3">
      <c r="A12" t="s">
        <v>355</v>
      </c>
    </row>
    <row r="29" spans="1:4">
      <c r="A29" t="s">
        <v>362</v>
      </c>
      <c r="D29" t="s">
        <v>367</v>
      </c>
    </row>
    <row r="49" spans="1:1">
      <c r="A49" t="s">
        <v>361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2025-12-10T14:55:37Z</dcterms:created>
  <dcterms:modified xsi:type="dcterms:W3CDTF">2025-12-10T21:02:41Z</dcterms:modified>
  <cp:category/>
  <cp:contentStatus/>
</cp:coreProperties>
</file>